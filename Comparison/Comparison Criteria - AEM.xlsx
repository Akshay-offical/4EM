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_Criteria" sheetId="1" r:id="rId5"/>
    <sheet state="visible" name="Miro_results" sheetId="2" r:id="rId6"/>
    <sheet state="visible" name="Draw_io_results" sheetId="3" r:id="rId7"/>
    <sheet state="visible" name="Mural Results" sheetId="4" r:id="rId8"/>
    <sheet state="visible" name="Lucidchart_results" sheetId="5" r:id="rId9"/>
    <sheet state="visible" name="References" sheetId="6" r:id="rId10"/>
  </sheets>
  <definedNames/>
  <calcPr/>
</workbook>
</file>

<file path=xl/sharedStrings.xml><?xml version="1.0" encoding="utf-8"?>
<sst xmlns="http://schemas.openxmlformats.org/spreadsheetml/2006/main" count="896" uniqueCount="347">
  <si>
    <t>Collaboration</t>
  </si>
  <si>
    <t>C1</t>
  </si>
  <si>
    <t>COLLABORATION</t>
  </si>
  <si>
    <t>Score</t>
  </si>
  <si>
    <t>Justification</t>
  </si>
  <si>
    <t>Link</t>
  </si>
  <si>
    <t>Real-time simultaneous editing</t>
  </si>
  <si>
    <t>Can two or more people edit the SAME diagram at the EXACT same time without waiting?</t>
  </si>
  <si>
    <t>Barjis (2011), p.3098
Hao (2023), p.78</t>
  </si>
  <si>
    <t>Share draw.io diagrams stored on cloud platforms, When you store your diagrams in the Google Drive, Microsoft OneDrive or Nextcloud file storage platforms or in Atlassian Confluence and Jira, you can easily share and collaborate on diagram files with other users that have access to those files.</t>
  </si>
  <si>
    <t>Barjis: "A more advanced tool should allow multiple modelers and users to participate in the model creation at the same time"
Hao: "Synchronous collaboration — participants engage in simultaneous collaboration, working simultaneously on the same model"</t>
  </si>
  <si>
    <t>https://www.drawio.com/docs/manual/collaboration/share-diagrams/</t>
  </si>
  <si>
    <t>C3</t>
  </si>
  <si>
    <t>Answer</t>
  </si>
  <si>
    <t>Simultaneous user capacity</t>
  </si>
  <si>
    <t>How many people can work on the same board at the same time without the tool slowing down or limiting users?</t>
  </si>
  <si>
    <t>Barjis (2011), p.3098</t>
  </si>
  <si>
    <t>Barjis: "While more participants will provide more insight, practice also shows that this might slow down the modeling process. So the number of participants should be proportionate"</t>
  </si>
  <si>
    <t>C4</t>
  </si>
  <si>
    <t>Remote / online collaboration support</t>
  </si>
  <si>
    <t>Score (1-5)</t>
  </si>
  <si>
    <t>Can people from different physical locations work together on the same model online?</t>
  </si>
  <si>
    <t>Barjis (2011), p.3102
Hao (2023), p.83</t>
  </si>
  <si>
    <t>Barjis: "CPI Modeling can best be achieved if the participants are in one location and interact synchronously"
Hao: "Clients can initiate or join a modeling session from anywhere in the world, using either a local network or a remote connection over the Internet"</t>
  </si>
  <si>
    <t>C5</t>
  </si>
  <si>
    <t>User awareness (cursor / identity visibility)</t>
  </si>
  <si>
    <t>Can you see WHERE other users are on the board and WHO they are in real time?</t>
  </si>
  <si>
    <t>Venter &amp; De Vries (2025), p. 14
Riemer et al. (2011), p.6</t>
  </si>
  <si>
    <t>Venter: "Collaboration awareness – Should show cursor position, co-modeller identity, and activity in real time, Should include a representation of users (i.e., an avatar) in the shared workspace. "
Riemer: "Workspace awareness like automatic E-Mail notification, if changes to the models occur, enhances the communication and efficiency between the team members."</t>
  </si>
  <si>
    <t>C6</t>
  </si>
  <si>
    <t>Built-in communication (chat / discussion)</t>
  </si>
  <si>
    <t>Is there a chat, voice or video feature INSIDE the tool so people can discuss while modeling?</t>
  </si>
  <si>
    <t>Riemer et al. (2011), p.6
Hao (2023), p.79</t>
  </si>
  <si>
    <t>Miro is built natively for real-time collaboration. Every editor's changes appear instantly for all other participants with no refresh or save step. However, Miro's own community documentation confirms a technical limitation at the object level that only one user can actively type inside a given shape or sticky note at once so, a second user has to wait.</t>
  </si>
  <si>
    <t>Riemer: "Chat functionality allows team members to quickly coordinate their actions while modelling, and discussion boards enable them to share ideas in an asynchronous manner."
Hao: “capability to collaboratively work on the same model in real-time, even while physically separated, using an integrated communication channel.”</t>
  </si>
  <si>
    <t>Yes</t>
  </si>
  <si>
    <t>C7</t>
  </si>
  <si>
    <t>Concurrent edit conflict management</t>
  </si>
  <si>
    <t>What happens if two people try to edit the SAME element at the exact same time?</t>
  </si>
  <si>
    <t>Riemer et al. (2011), p.7
Aleem et al. (2012), p.278</t>
  </si>
  <si>
    <t>Riemer: "version control is incorporated into the repository system; it helps to keep track of the changes made to a business process model and supports the users in conflict solving."
Aleem: "Perspective of different modeler's interaction and conflict resolution between them has not been addressed till now"</t>
  </si>
  <si>
    <t>Multiple users can work on the same board simultaneously with changes reflected instantly for all participants; this is a core, heavily marketed capability of the platform.</t>
  </si>
  <si>
    <t>https://community.miro.com/ideas/editing-same-object-by-multiple-users-at-the-same-time-12341</t>
  </si>
  <si>
    <t>Category</t>
  </si>
  <si>
    <t>Modeling Features</t>
  </si>
  <si>
    <t>Scores</t>
  </si>
  <si>
    <t>Max Score</t>
  </si>
  <si>
    <t>Overall Percentage</t>
  </si>
  <si>
    <t>C8</t>
  </si>
  <si>
    <t>Hundreds, but performance can degrade on very large/busy boards</t>
  </si>
  <si>
    <t>Mural is marketed as supporting high-density real-time interaction for hundreds of simultaneous users, but independent reviews note performance can lag with larger boards or many participants.</t>
  </si>
  <si>
    <t>MODELING FEATURES</t>
  </si>
  <si>
    <t>Enterprise modeling notation support</t>
  </si>
  <si>
    <t>The free tier of draw.io (diagrams.net) limits real-time collaboration to a small number of simultaneous users via Google Drive or Confluence integrations. Standalone use via browser supports multiple users but without enforced session management. For small enterprise modeling groups of 2–4 participants, capacity is adequate, but larger sessions with 10+ participants typical of CPI modeling sessions described by Barjis (2011) may experience limitations in the free version.</t>
  </si>
  <si>
    <t>Does the tool support standard enterprise modeling shapes and notations like BPMN, UML, EPC?</t>
  </si>
  <si>
    <t>https://www.drawio.com/docs/integrations/atlassian/confluence/collaborative-editing-confluence-cloud/</t>
  </si>
  <si>
    <t>Riemer et al. (2011), p.5
Aleem et al. (2012), p.275</t>
  </si>
  <si>
    <t>Riemer: "For a modelling tool to be considered, it had to support one (or more) of the following, most commonly used, process modelling notations: 1) Event-Driven Process Chains (EPC), 2) Business Process Modelling and Notation (BPMN), 3) Unified Modelling Language (UML) or 4) Integrated Definition (IDEF)."
Aleem: “techniques used for modeling business
processes such as PN, UML, IDEF3 and architecture of
integrated information systems (ARIS), etc. These techniques,
however, are inadequate for describing collaborative practices.
This is so because they are incapable of representing multiple
actors participating in each collaborative task while keeping
consistency of the overall processes."</t>
  </si>
  <si>
    <t>C10</t>
  </si>
  <si>
    <t>Multiple actor representation in model</t>
  </si>
  <si>
    <t>Can the model visually show multiple different participants/roles doing different things simultaneously?</t>
  </si>
  <si>
    <t>Aleem et al. (2012), pg 275</t>
  </si>
  <si>
    <t>Aleem: "Incapable of representing multiple actors participating in each collaborative task while keeping consistency of the overall processes"</t>
  </si>
  <si>
    <t>C11</t>
  </si>
  <si>
    <t>Template / construct library</t>
  </si>
  <si>
    <t>Are there pre-built templates or shape libraries that speed up modeling?</t>
  </si>
  <si>
    <t>Riemer et al. (2011), p.5,6
Venter &amp; De Vries (2025), p.16</t>
  </si>
  <si>
    <t>Riemer: "Templates and a correctness checker are important for collaborative modelling, as they facilitate consistent modelling between several modelling teams"
Venter: "Template reusability – member should be able to design a new template for a
new language, such as the language DEMOSL (Design and Engineering Methodology for Organizations Specification Language), AND sharing the template to members of the workspace."</t>
  </si>
  <si>
    <t>C12</t>
  </si>
  <si>
    <t>Phase / workflow management</t>
  </si>
  <si>
    <t>Can the tool manage a structured workflow where modeling happens in defined stages? (Stage1 = Draft, Stage2 = Review, Stage 3 = Approved)</t>
  </si>
  <si>
    <t>Riemer et al. (2011), p.6</t>
  </si>
  <si>
    <t>Riemer: "Phase management helps to clarify the roles and responsibilities within defined steps of the modelling process, which benefits role-based coordination among team members"</t>
  </si>
  <si>
    <t>C13</t>
  </si>
  <si>
    <t>Support for shared understanding of model</t>
  </si>
  <si>
    <t>Mural is a cloud/browser-based platform explicitly built for distributed and hybrid teams to collaborate visually regardless of location.</t>
  </si>
  <si>
    <t>Does the tool help everyone understand the same model the same way?(Feature defining terms for each boxes)</t>
  </si>
  <si>
    <t>Aleem et al. (2012), p. 275
Barjis (2011), p.3094</t>
  </si>
  <si>
    <t xml:space="preserve">Miro explicitly documents that it is engineered for large-scale concurrent sessions and scenarios with around 200 simultaneous Editors/Commenters occur almost weekly. The largest recorded session reached 377 concurrent users while the board stayed operational. </t>
  </si>
  <si>
    <t>Aleem: "Integration of different perspectives on a process and shared understanding of models"
Barjis: "as being based on shared concepts, it facilitates shared understanding; as a conceptual model, it serves as a blueprint for simulation design"</t>
  </si>
  <si>
    <t>https://help.miro.com/hc/en-us/articles/360013912300-How-many-users-can-collaborate-on-a-board-simultaneously</t>
  </si>
  <si>
    <t>Export And Conversion</t>
  </si>
  <si>
    <t>Live cursors show each collaborator's position and name in real time, and a facilitator can 'summon' participants to a location on the canvas.</t>
  </si>
  <si>
    <t>C14</t>
  </si>
  <si>
    <t>EXPORT &amp; CONVERSION</t>
  </si>
  <si>
    <t>Export to XML format/CSV Format</t>
  </si>
  <si>
    <t>Can the tool export the model as a structured XML or CSV file that contains the actual model data?</t>
  </si>
  <si>
    <t>Partial</t>
  </si>
  <si>
    <t>Riemer et al. (2011), p.7.
Venter &amp; De Vries (2025),.= p.14</t>
  </si>
  <si>
    <t>Mural offers threaded comments, @mentions, and in-mural audio calls, but audio can only be started once already viewing/co-editing a canvas, and there is no built-in video call feature.</t>
  </si>
  <si>
    <t>ACCESS &amp; VERSIONING</t>
  </si>
  <si>
    <t>Riemer: "The export feature supports the modeller by allowing the model to be independent of a particular tool for the purpose of exchange with a wider audience."
Venter: "Exporting to .csv Should facilitate exporting of a table to a .csv file”</t>
  </si>
  <si>
    <t>draw.io operates fully in the browser at app.diagrams.net and supports remote collaboration through shared links, Google Drive integration, and Confluence/Jira plugins. Users from any location can join a shared diagram session without installing software. Hao (2023, p.83) states that tools should allow clients to 'initiate or join a modeling session from anywhere in the world using a local network or remote connection' — draw.io satisfies this. A minor limitation is that advanced collaboration requires a Google account or Confluence license.</t>
  </si>
  <si>
    <t>C15</t>
  </si>
  <si>
    <t>Cross-platform diagram re-use / transfer</t>
  </si>
  <si>
    <t>Can a diagram created in this tool be opened or imported in another modeling tool?</t>
  </si>
  <si>
    <t>Venter &amp; De Vries (2025), p.15</t>
  </si>
  <si>
    <t>https://drawio-app.com/blog/collaborating-within-a-team-where-every-moment-matters/</t>
  </si>
  <si>
    <t>Venter: "Re-use diagrams between different modeling platforms – Should enable transferring of a diagram to another modeling platform to enable design across domains"</t>
  </si>
  <si>
    <t>C16</t>
  </si>
  <si>
    <t>Structured data export (not only image)</t>
  </si>
  <si>
    <t>When you export, do you get the actual model DATA or just a flat picture?</t>
  </si>
  <si>
    <t>Riemer et al. (2011), p.7</t>
  </si>
  <si>
    <t>Riemer: "export and import criteria therefore cover different
file formats, and can be used for exporting and importing process models."</t>
  </si>
  <si>
    <t>C17</t>
  </si>
  <si>
    <t>Not clearly documented</t>
  </si>
  <si>
    <t>Access – Control</t>
  </si>
  <si>
    <t>Can you control who can view, edit or manage the workspace?</t>
  </si>
  <si>
    <t>No formal conflict-resolution policy is published by Mural. Live cursors/presence let users see each other and avoid collisions, and an Activity Log lets you recover content that was overwritten or deleted, but there is no documented mechanism (e.g., locking or merge rules) for true simultaneous edits to one element.</t>
  </si>
  <si>
    <t>Venter &amp; De Vries (2025) p.14</t>
  </si>
  <si>
    <t>PRACTICAL ASPECTS</t>
  </si>
  <si>
    <t>Venter: "Workspace membership
control
Full members should be prevented from adding new
members if membership numbers are restricted. During
the main experiment, the administrators need to ensure
that participants of the experiment have “full member”
privileges.”r</t>
  </si>
  <si>
    <t>Access And Versioning</t>
  </si>
  <si>
    <t>C18</t>
  </si>
  <si>
    <t>User and role management</t>
  </si>
  <si>
    <t>Can you assign different roles to different people — like one person is Admin, another is Editor, another is Viewer?</t>
  </si>
  <si>
    <t>draw.io shows named cursors for other active users during collaboration sessions, satisfying Venter &amp; De Vries's 'collaboration awareness' feature. However, cursor visibility is only available when using the Google Drive or Confluence integration — not in standalone browser mode. Riemer et al. (2011, p.6) describe workspace awareness as automatic notifications when changes occur; draw.io provides cursor tracking but does not send notifications for asynchronous changes.</t>
  </si>
  <si>
    <t>https://drawio-app.com/blog/real-time-multi-user-collaborative-diagramming/</t>
  </si>
  <si>
    <t>Miro operates entirely in-browser (with optional desktop/mobile apps) and is designed from the ground up for distributed teams. Boards can be opened from any location via a shared link with no local installation required. Miro also supports over 160 integrations (Slack, Zoom, Google Drive, Microsoft Teams) that keep remote participants connected to their existing workflows without leaving the board.</t>
  </si>
  <si>
    <t>Riemer: "User and role management transfers this
idea to modelling tools. As mentioned above, effective modelling requires a modelling team with certain
skills and roles. Roles clarify responsibilities, support internal workflows and allow access control."</t>
  </si>
  <si>
    <t>C19</t>
  </si>
  <si>
    <t>Version control and history</t>
  </si>
  <si>
    <t>PARTICIPATORY MODELING</t>
  </si>
  <si>
    <t>Does the tool automatically save a history of all changes so you can go back to an earlier version if something goes wrong?</t>
  </si>
  <si>
    <t>Riemer et al. (2011), p.7
Aleem et al. (2012), p.5
Venter &amp; De Vries (2025) p.16</t>
  </si>
  <si>
    <t>Riemer: "Version control is incorporated into the repository system; it helps to keep track of the changes made to a business process model"
Aleem: "Tracking and version management is yet another important issue in cBPM"
Venter: "Version visibility and rollback - Should provide users with easy access to the history of their modeling actions, enabling them to view, track, and restore previous versions of diagrams or canvases.”</t>
  </si>
  <si>
    <t>C20</t>
  </si>
  <si>
    <t>Auto-save functionality</t>
  </si>
  <si>
    <t>Does the tool save your work automatically without you having to press Save every time?</t>
  </si>
  <si>
    <t>Venter &amp; De Vries (2025) p.15</t>
  </si>
  <si>
    <t>Venter: "(Auto)save and model loading Should enable automatic and manual saving of work at regular intervals. Should allow users to load previously saved models to continue work without data loss.”</t>
  </si>
  <si>
    <t xml:space="preserve">Miro shows a live, color-coded cursor and name/avatar for every active collaborator hence meeting Venter &amp; De Vries's (2025)  requirement for "collaboration awareness" that shows cursor position, co-modeller identity, and activity in real time. Beyond basic cursor tracking, Miro's Attention Management suite lets a facilitator follow a specific collaborator, "Bring to me" one person, or "Bring everyone to me" to synchronize the whole group's viewport. </t>
  </si>
  <si>
    <t>Practical Aspects</t>
  </si>
  <si>
    <t>https://help.miro.com/hc/en-us/articles/360013358479-Attention-management</t>
  </si>
  <si>
    <t>C21</t>
  </si>
  <si>
    <t xml:space="preserve">draw.io has no built-in chat, voice, or video communication. Riemer et al. (2011, p.6) found that in 2011 only one out of eleven tools had chat functionality, and draw.io continues this pattern. Hao (2023, p.79) specifically states that collaborative tools need 'an integrated communication channel' for real-time remote collaboration — this is entirely absent in draw.io. Users must rely on external tools such as Microsoft Teams or Zoom running in parallel, which fragments the collaborative experience.
</t>
  </si>
  <si>
    <t>Web-based access (no installation)</t>
  </si>
  <si>
    <t>Can someone join the collaborative modeling session just by opening a browser — with zero installation required?</t>
  </si>
  <si>
    <t>Riemer et al. (2011), p.7
Hao (2023), p.83</t>
  </si>
  <si>
    <t>Riemer: "client/server architectures require the participants to install a certain software component on their local computers, a web-based architecture might facilitate inclusion of a wider circle of modelling partners."
Hao: "Clients can initiate or join a modeling session from anywhere in the world, using either a local network or a remote connection over the Internet."</t>
  </si>
  <si>
    <t>C22</t>
  </si>
  <si>
    <t>Session management (start/join/end)</t>
  </si>
  <si>
    <t>Does the tool have proper session management — can you officially start a session, invite people to join, manage who is in it and end it cleanly?</t>
  </si>
  <si>
    <t>Hao (2023), p.82</t>
  </si>
  <si>
    <t>Hao: “the Manager Session, which facilitates the initiation, participation,
termination, and administration of modeling sessions, as well as the handling of all communication between the clients and SPIFF”</t>
  </si>
  <si>
    <t>draw.io handles concurrent edits through a last-write-wins mechanism with basic conflict detection. When two users edit the same element simultaneously, the tool usually merges changes but can occasionally produce conflicts requiring manual resolution. Aleem et al. (2012) note that 'conflict resolution between modelers has not been addressed' in most tools — draw.io partially addresses this but without an explicit conflict resolution interface or user notification system.</t>
  </si>
  <si>
    <t>C23</t>
  </si>
  <si>
    <t>Mural provides pre-built BPMN, flowchart, and UML-style templates as drag-and-drop shape sets, but it has no dedicated, rule-enforcing notation engine (no syntax validation, semantic checking, or standardized library) the way purpose-built modeling tools like Lucidchart or ADOxx do.</t>
  </si>
  <si>
    <t>https://www.drawio.com/docs/manual/collaboration/concurrent-editing/</t>
  </si>
  <si>
    <t>Free version available</t>
  </si>
  <si>
    <t>Is there a free version of the tool that provides enough features for collaborative enterprise modeling without requiring payment?</t>
  </si>
  <si>
    <t>Venter &amp; De Vries (2025) pg 17</t>
  </si>
  <si>
    <t>Venter: “some of the tools identified in our PP are no longer freely available, and other widely used modeling tools exist, but were not extracted from our SLR.”</t>
  </si>
  <si>
    <t>Templates support swimlanes/pools/frames (e.g., BPMN pools and lanes, org charts, stakeholder maps) that let a model show multiple actors and their parallel activities.</t>
  </si>
  <si>
    <t xml:space="preserve">Miro includes native in-board text chat plus built-in Video Calls supporting up to 25 simultaneous participants directly on the canvas, without switching to other video conferencing apps, meeting Hao's (2023) call for an integrated communication channel. However, this video chat and other real-time facilitation add-ons are unavailable on Miro's Free plan and only unlock from the Starter tier upward. </t>
  </si>
  <si>
    <t>Mural ships with a large library (originally 250+, now described as 'hundreds of') of templates spanning brainstorming, agile, strategy, and process-mapping use cases.</t>
  </si>
  <si>
    <t>https://help.miro.com/hc/en-us/articles/360012753200-Miro-for-workshops-meetings</t>
  </si>
  <si>
    <t>No dedicated feature</t>
  </si>
  <si>
    <t>There is no formal Draft/Review/Approved stage-gate or approval-workflow feature. The closest capabilities are Outline/Presentation mode, Rooms/Folders for organizing work, and facilitators being able to 'lock' content, none of which constitute a structured phased workflow.</t>
  </si>
  <si>
    <t>C24</t>
  </si>
  <si>
    <t>Mural has no built-in glossary or per-element term-definition feature. Shared understanding is supported only informally, through comments, @mentions, and facilitation tools (private mode, voting) rather than structured definitions attached to model elements.</t>
  </si>
  <si>
    <t>Stakeholder direct involvement in model creation</t>
  </si>
  <si>
    <t>Can domain stakeholders (non-experts) actively CREATE and EDIT model elements themselves — not just comment or view?</t>
  </si>
  <si>
    <t>Gutschmidt et al. (2022), pg 1</t>
  </si>
  <si>
    <t>Gutschmidt: "Participatory modeling means that the stakeholders are actively involved in the modeling process by gathering them, letting them discuss and create the models jointly, supported by method experts"</t>
  </si>
  <si>
    <t>C25</t>
  </si>
  <si>
    <t>Consensus building support</t>
  </si>
  <si>
    <t>Does the tool provide features to help a group AGREE on the model — like voting, approval workflows, or element-level discussion?</t>
  </si>
  <si>
    <r>
      <rPr>
        <rFont val="Calibri"/>
        <color rgb="FF000000"/>
        <sz val="11.0"/>
      </rPr>
      <t xml:space="preserve">Gutschmidt et al. (2022), pg 2, </t>
    </r>
    <r>
      <rPr>
        <rFont val="Arial"/>
        <color rgb="FF000000"/>
        <sz val="7.0"/>
      </rPr>
      <t>Barjis (2011), p.3096</t>
    </r>
  </si>
  <si>
    <t>Gutschmidt:  “Participatory modeling goes a step further by involving several stakeholders at a time. It is particularly beneficial when consensus among the stakeholders is important”,                                                      Barjis: “The modeling process is facilitated by a profession- al facilitator, because facilitated modeling interventions better ensure communication, consensus and commitment (Rouwette 2011).”</t>
  </si>
  <si>
    <t>C26</t>
  </si>
  <si>
    <t>Conflicting perspective resolution</t>
  </si>
  <si>
    <t>When two stakeholders have different views on the model, does the tool help surface and resolve this conflict?</t>
  </si>
  <si>
    <t>Gutschmidt et al. (2022), pg 2, Aleem et al. (2012), p.5</t>
  </si>
  <si>
    <r>
      <rPr>
        <rFont val="Calibri"/>
        <color rgb="FF000000"/>
        <sz val="11.0"/>
      </rPr>
      <t>Gutschmidt: “</t>
    </r>
    <r>
      <rPr>
        <rFont val="Times New Roman"/>
        <color rgb="FF131413"/>
        <sz val="9.0"/>
      </rPr>
      <t xml:space="preserve">conflicting perspectives </t>
    </r>
    <r>
      <rPr>
        <rFont val="Calibri"/>
        <color rgb="FF000000"/>
        <sz val="11.0"/>
      </rPr>
      <t xml:space="preserve">that may not have been discovered or resolved in
</t>
    </r>
    <r>
      <rPr>
        <rFont val="Times New Roman"/>
        <color rgb="FF131413"/>
        <sz val="9.0"/>
      </rPr>
      <t xml:space="preserve">individual consultations become explicit in participatory sessions”.                                               Aleem: “Perspective of different modeler’s interaction and conflict resolution between them has not been addressed till now” </t>
    </r>
  </si>
  <si>
    <t>C27</t>
  </si>
  <si>
    <t>Contribution traceability per stakeholder</t>
  </si>
  <si>
    <t>Can every stakeholder see which parts of the model THEY specifically contributed? Can others see who contributed what?</t>
  </si>
  <si>
    <t>Gutschmidt et al. (2022), pg 15</t>
  </si>
  <si>
    <r>
      <rPr>
        <rFont val="Calibri"/>
        <color rgb="FF000000"/>
        <sz val="11.0"/>
      </rPr>
      <t>Gutschmidt: “Thus, in individual settings, every participant's contributions to the model must be traceable</t>
    </r>
    <r>
      <rPr>
        <rFont val=""/>
        <color rgb="FF000000"/>
        <sz val="12.0"/>
      </rPr>
      <t>”</t>
    </r>
  </si>
  <si>
    <t>Miro avoids most conflicts by locking edit rights to a single active editor per object rather than merging simultaneous text changes which sidesteps rather than resolves Aleem et al.'s (2012) observation that perspective of different modeler's interaction and conflict resolution between them has not been addressed. There is no visible merge-conflict dialog, diff view, or explicit notification when two users attempt to edit the same element, and the second user is simply blocked from entering edit mode until the first finishes.</t>
  </si>
  <si>
    <t>21/30</t>
  </si>
  <si>
    <t>Partial (CSV only, no XML)</t>
  </si>
  <si>
    <t>Mural offers CSV export, but it is limited to sticky-note content only. There is no native XML export; the Enterprise Export API instead returns board metadata as JSON (or a PDF), not XML.</t>
  </si>
  <si>
    <t>C9</t>
  </si>
  <si>
    <t>Ease of use for non-expert users</t>
  </si>
  <si>
    <t>A Mural board can be exported as a vector PDF or sticky-note CSV and re-imported into some competing tools (e.g., Lucidspark), but Lucid's own migration documentation states that BPMN, UML, and ERD diagram content specifically cannot be migrated this way.</t>
  </si>
  <si>
    <t>Can someone with NO modeling experience use this tool after 10 minutes of exploration?</t>
  </si>
  <si>
    <t>Beyond flat PNG/PDF exports, Mural supports CSV export of sticky notes, an HTML+data-files zip, and (on Enterprise) a JSON metadata export via API, so some structured data can be retrieved, not just an image.</t>
  </si>
  <si>
    <r>
      <rPr>
        <rFont val="Arial"/>
        <color rgb="FF000000"/>
        <sz val="7.0"/>
      </rPr>
      <t xml:space="preserve">Barjis (2011), p.3098
Aleem et al. (2012), p. 278
Hao (2023), p.83,  </t>
    </r>
    <r>
      <rPr>
        <rFont val="Calibri"/>
        <color rgb="FF000000"/>
        <sz val="11.0"/>
      </rPr>
      <t>Gutschmidt et al. (2022), pg 1</t>
    </r>
  </si>
  <si>
    <t>Barjis: "Tools used for interaction should be intuitive and powerful to create complex models"
Aleem: "approaches lack standardization and simplicity in terms of their implementation and understanding of the terminologies by non-technical persons."
Hao: "adoption of these systems and the comprehension of their terminology by non-technical individuals are hindered by a lack of uniformity and simplicity. Approaches such as the UML-based methodology exhibit simplicity, although they lack the capability to effectively manage collaborative aspects and process states ",        Gutschmidt: "Participatory modeling means that the stakeholders are actively involved in the modeling process by gathering them, letting them discuss and create the models jointly, supported by method experts"</t>
  </si>
  <si>
    <t>Mural provides granular per-mural permissions (view / edit / facilitate) plus workspace- and company-level admin roles to control access.</t>
  </si>
  <si>
    <t>C2</t>
  </si>
  <si>
    <t>Facilitator / session control role</t>
  </si>
  <si>
    <t>Can one person be assigned as the "session leader" who controls what others can do?</t>
  </si>
  <si>
    <r>
      <rPr>
        <rFont val="Arial"/>
        <color rgb="FF000000"/>
        <sz val="7.0"/>
      </rPr>
      <t xml:space="preserve">Barjis (2011), p.3096
Venter &amp; De Vries (2025), p.14, </t>
    </r>
    <r>
      <rPr>
        <rFont val="Calibri"/>
        <color rgb="FF000000"/>
        <sz val="11.0"/>
      </rPr>
      <t>Gutschmidt et al. (2022), pg 2</t>
    </r>
  </si>
  <si>
    <r>
      <rPr>
        <rFont val="Arial"/>
        <color rgb="FF000000"/>
        <sz val="7.0"/>
      </rPr>
      <t xml:space="preserve">Barjis: "The modeling process is facilitated by a professional facilitator, because facilitated modeling interventions better ensure communication, consensus and commitment"
Venter: “Facilitator enablement - Should provide functionality to support facilitators in
coordinating group activities and ensuring effective collaboration”                                                                </t>
    </r>
    <r>
      <rPr>
        <rFont val="Arial"/>
        <color rgb="FF000000"/>
        <sz val="7.0"/>
      </rPr>
      <t>Gutschmidt: "A facilitator who leads the discussion is always present. Optionally, there is a tool operator who handles the modeling tool and a secretary who documents the modeling process"</t>
    </r>
  </si>
  <si>
    <t>draw.io provides extensive built-in shape libraries including BPMN 2.0, UML, ERD, flowcharts, and general-purpose shapes. Riemer et al. (2011) required tools to support at least one of EPC, BPMN, UML, or IDEF — draw.io supports BPMN and UML natively. However, it does not natively support 4EM-specific notation (Goal, KPI, Information Set etc.) out of the box. This is addressed in our assignment by providing custom stencil libraries, which compensates for this gap.</t>
  </si>
  <si>
    <t>https://www.drawio.com/docs/features/</t>
  </si>
  <si>
    <t>Miro ships free Basic Shapes, Flowchart, and Connector packs, while BPMN, UML, ERD, Data Flow, and other specialized notations are gated behind Business, Enterprise, or Education plans, partially meeting Riemer et al.'s (2011) requirement to support one (or more) of... EPC, BPMN,... UML or IDEF. Community reports confirm the BPMN pack is incomplete out of the box (like only a generic OR-gateway is exposed by default; other event and gateway types are hidden in sub-menus) and Miro has no native 4EM notation.</t>
  </si>
  <si>
    <t>Mural has a multi-tier role system (company admin, workspace admin, member, guest, visitor) plus per-mural view/edit/facilitate settings, though roles are fixed/predefined rather than fully custom.</t>
  </si>
  <si>
    <t>https://community.miro.com/ideas/support-for-all-bpmn-symbols-e-g-event-types-14216</t>
  </si>
  <si>
    <t>Mural support has explicitly confirmed there is no true version-control feature (no saving/restoring a full board snapshot). Instead, an Activity Log tracks every change with who made it and allows recovery of individually deleted objects only.</t>
  </si>
  <si>
    <t>draw.io supports swimlane diagrams, container shapes, and grouped elements, enabling clear representation of multiple actors and their respective processes or responsibilities. Aleem et al. (2012, p.275) identified the inability to represent 'multiple actors participating in each collaborative task while keeping consistency' as a key weakness — draw.io addresses this through swimlanes and labeled containers, though it does not enforce semantic consistency automatically.</t>
  </si>
  <si>
    <t>https://www.drawio.com/docs/diagram-types/role-responsibility-diagrams/</t>
  </si>
  <si>
    <t>As a cloud-based real-time canvas, changes are saved continuously as they happen (there is no manual save action); every change is also logged live in the Activity Log.</t>
  </si>
  <si>
    <t>Miro's Flowchart, BPMN, and UML shape packs include dedicated Swimlane and Pool objects specifically intended to show interdependencies, connections, and handoffs between different lanes (representing roles, departments, or phases). However, Miro's own documentation notes that content placed inside swimlanes currently cannot be locked or aligned using the standard multi-object alignment tools, a documented usability limitation for larger multi-actor diagrams.</t>
  </si>
  <si>
    <t>https://help.miro.com/hc/en-us/articles/4403634496402-Miro-for-mapping-diagramming</t>
  </si>
  <si>
    <t>draw.io has an extensive template gallery and shape library system. Riemer et al. (2011, p.5) state that templates 'facilitate consistent modelling between several modelling teams'. draw.io allows users to create, save, and share custom libraries — as demonstrated in this assignment through the seven custom 4EM stencil files. Venter &amp; De Vries (2025) list 'template reusability' as a key feature; draw.io fully supports designing and sharing templates within a workspace, earning the highest rating.</t>
  </si>
  <si>
    <t>https://www.drawio.com/docs/manual/shapes/</t>
  </si>
  <si>
    <t>Mostly yes</t>
  </si>
  <si>
    <t>Mural runs fully in any modern browser on desktop with no installation needed, though iPad/mobile browser access is restricted and users are pushed toward installing a native app on those devices.</t>
  </si>
  <si>
    <t>The mural creator automatically becomes the facilitator and can invite via share link, summon participants, and lock content, but there is no formal 'start/end meeting' session object with structured attendance beyond the Activity Log.</t>
  </si>
  <si>
    <t>Miro offers 300+ ready-made templates spanning mind maps, BPMN, org charts, and process maps, plus Miroverse, a community-driven repository of further shared templates, and the ability to save and reuse fully custom templates across a team. However crerating a custom template is unavailable on Miro's Free plan.</t>
  </si>
  <si>
    <t>https://miro.com/collaboration/</t>
  </si>
  <si>
    <t>draw.io does not support structured workflow or phase management. There is no concept of modeling stages (Draft → Review → Approved), no built-in approval workflow, and no role-based phase permissions. Riemer et al. (2011, p.6) describe phase management as helping to 'clarify the roles and responsibilities within defined steps of the modelling process' — this functionality is completely absent from draw.io. Multi-page diagrams can simulate phases to some extent but without any enforcement mechanism.</t>
  </si>
  <si>
    <t>A permanent Free plan exists with unlimited members and all core facilitation features (voting, timers, private mode) and the full template library, but it is capped at 3 murals, which limits sustained modeling work.</t>
  </si>
  <si>
    <t>draw.io supports element-level comments (right-click → Edit Tooltip or Edit Data) and text annotations directly on the canvas. These allow modelers to add explanatory notes. However, there is no built-in glossary feature and no formal mechanism for confirming that participants have the same understanding of a model element. Aleem et al. (2012, p.275) call for 'integration of different perspectives and shared understanding' — draw.io provides basic support through annotations but not structured shared understanding.</t>
  </si>
  <si>
    <t>https://drawio-app.com/blog/the-draw-io-glossary/</t>
  </si>
  <si>
    <t>Miro's built-in Kanban and Table widgets let a team define custom columns and status fields that cards move through, with real-time synchronization across the team and optional two-way Jira sync. However as per Miro's own documentation, a card's Status field is not yet automatically linked to the Kanban column it sits in, so consistent stage tracking currently depends on manual discipline rather than being enforced by the tool.</t>
  </si>
  <si>
    <t>https://help.miro.com/hc/en-us/articles/29188841316114-Kanban</t>
  </si>
  <si>
    <t>Any collaborator granted Edit (or Facilitate) permission â€” including anonymous visitors joining via a share link on the Free plan â€” can directly add and edit content themselves, not just comment.</t>
  </si>
  <si>
    <t>Miro supports threaded comments, @mentions, sticky-note tags/colors, and text annotations directly on model elements, giving participants a way to clarify meaning as they work, a partial answer to Aleem et al.'s (2012) call for shared understanding of models. But no dedicated glossary, data-dictionary, or formal term-definition feature was found in Miro's documentation, so building a shared vocabulary for 4EM-specific terms would rely entirely on ad hoc comments and sticky notes rather than a structured mechanism.</t>
  </si>
  <si>
    <t>https://help.miro.com/hc/en-us/articles/360017730873-Comments</t>
  </si>
  <si>
    <t>Mural's Facilitation Superpowers include built-in timed voting/dot-voting sessions, reactions, and threaded comments, which support group consensus-building, though there is no formal approval-workflow feature.</t>
  </si>
  <si>
    <t>18/25</t>
  </si>
  <si>
    <t>Private Mode lets participants contribute ideas independently before results are revealed, which surfaces differing views, and comment threads allow discussion, but there is no dedicated feature for tracking or resolving disagreements.</t>
  </si>
  <si>
    <t>Yes (with one exception)</t>
  </si>
  <si>
    <t>The Activity Log records who added, edited, or deleted every object on the canvas, making contributions traceable except objects added anonymously during Private Mode, which remain anonymous even in the log.</t>
  </si>
  <si>
    <t>Reviewers consistently describe Mural's interface as intuitive and easy to use for people of varying technical skill, though some reviews note a steeper learning curve for its more advanced features.</t>
  </si>
  <si>
    <t>draw.io natively exports to XML (.drawio format) which is the primary input format for our converter. The XML export contains the full model structure including element types (via em_type attribute), positions, sizes, labels, tooltips, and edge connections. Riemer et al. (2011, p.7) identify export format support as critical for tool independence. draw.io also exports to CSV for tabular data. This is the most critical criterion for our assignment and draw.io scores the highest possible rating.</t>
  </si>
  <si>
    <t>The mural creator is automatically the facilitator, and 'Facilitate' is a distinct permission level giving special controls such as timers, voting, summoning participants, and locking content for others.</t>
  </si>
  <si>
    <t>draw.io can import and export in multiple formats: XML, SVG, PNG, PDF, HTML, and VSDX (Visio). Venter &amp; De Vries (2025, p.15) identify 're-use diagrams between different modeling platforms' as a critical missing feature in most tools — draw.io partially addresses this. The XML export is what enables our converter to produce 4EM ADL files, directly bridging the gap Venter &amp; De Vries identified. One point deducted as import from other enterprise modeling tools is limited.</t>
  </si>
  <si>
    <t>draw.io's XML export contains full structured model data — every element's id, type, label, geometry, style, and connections are preserved as structured XML attributes. This is not merely an image export. Riemer et al. (2011, p.7) state that 'export and import criteria cover different file formats and can be used for exporting and importing process models' — draw.io's XML satisfies this fully. This structured export is what makes our draw.io → 4EM converter technically feasible.</t>
  </si>
  <si>
    <t>draw.io offers basic access control through shared link settings (view-only or edit access). Through Google Drive or Confluence integration, more granular permissions are available. Venter &amp; De Vries (2025, p.14) describe 'workspace membership control' and 'full member privileges' — draw.io supports this at a basic level in integrated environments but lacks fine-grained access control in standalone mode. No per-element access restriction is possible.</t>
  </si>
  <si>
    <t xml:space="preserve">Miro's native export menu is limited to Image (PNG/JPG), PDF, SVG, and CSV and there is no XML export option. Community feature requests for JSON/XML/OPML export remain open years after being filed, and Miro's own support article states plainly that Image, PDF, and CSV are the only formats of Miro export. </t>
  </si>
  <si>
    <t>https://community.miro.com/ask-the-community-45/import-to-and-export-from-miro-3412</t>
  </si>
  <si>
    <t>17/20</t>
  </si>
  <si>
    <t>Miro can import .vsdx files directly from Lucidchart, Microsoft Visio, and draw.io, letting a team bring existing diagrams into Miro. This import path is however, one-directional as  Miro boards cannot be exported back out as .vsdx, .drawio, or any other tool's native diagram format, so a diagram built in Miro cannot be round-tripped into draw.io, Lucidchart, or Visio.</t>
  </si>
  <si>
    <t>draw.io supports access control, but mostly through the storage or collaboration platform around it, not as a full built-in role-management system in the free standalone app. Paid enterprise deployments give you stronger admin control because the roles and permissions are handled centrally by the host platform.</t>
  </si>
  <si>
    <t>Miro's Board Export packages a board as an image/PDF/SVG plus a CSV of visible text, but Miro's own support documentation confirms that CSV export 'doesn't keep board structure and relationships' for freeform boards. Full structured data (element type, geometry, connector relationships) is retrievable only through the developer REST API's 'Get items on board' endpoint, which returns JSON per item type, or the Enterprise-only Board Export API however does not contain the connector information.</t>
  </si>
  <si>
    <t>https://help.miro.com/hc/en-us/articles/360017572754-How-to-export-your-board</t>
  </si>
  <si>
    <t>draw.io provides basic version history through Google Drive or Confluence integration, where previous versions can be viewed and restored. In standalone mode, there is no version history. Riemer et al. (2011, p.7) identify version control as essential for tracking changes and conflict resolution. Aleem et al. (2012) list tracking and version management as a key unsolved issue. draw.io partially addresses this but only in integrated environments, not standalone.</t>
  </si>
  <si>
    <t>https://www.drawio.com/docs/integrations/atlassian/confluence/confluence-cloud-restore-version/</t>
  </si>
  <si>
    <t xml:space="preserve">Miro provides granular, multi-layered access control: board owners and co-owners can set per-invitee rights to Can edit / Can comment / Can view, restrict whether editors may reshare the board, password-protect public links, and (on Enterprise) enforce link-expiration policies. </t>
  </si>
  <si>
    <t>https://help.miro.com/hc/en-us/articles/360017572194-Board-access-rights</t>
  </si>
  <si>
    <t>draw.io auto-saves continuously in all modes. When using Google Drive integration, every change is saved to the cloud in real time. In browser mode, the diagram is stored in browser local storage with regular auto-save. Venter &amp; De Vries (2025, p.15) require that tools 'enable automatic and manual saving at regular intervals to prevent data loss' — draw.io fully meets this requirement. No data loss was experienced during the practical use of draw.io in this assignment.</t>
  </si>
  <si>
    <t>https://www.drawio.com/docs/manual/file-storage-locations-compare/</t>
  </si>
  <si>
    <t xml:space="preserve">Miro implements role-based access control across multiple layers: board-level roles (Owner, Co-owner, Editor, Commenter, Viewer), organization-level roles (Team Admin, Company Admin, Content Admin, Security Admin), and lightweight participant types (Guest, Visitor) for occasional or one-time collaborators. Hence, fulfilling  Riemer et al.'s (2011) claim that roles clarify responsibilities, support internal workflows and allow access control. </t>
  </si>
  <si>
    <t>https://help.miro.com/hc/en-us/articles/360017571194-Roles-in-Miro</t>
  </si>
  <si>
    <t>draw.io is fully web-based at app.diagrams.net and requires zero installation. Any participant can join and start modeling immediately by opening a browser link. Riemer et al. (2011, p.7) state that 'a web-based architecture might facilitate inclusion of a wider circle of modelling partners'. Hao (2023, p.83) notes clients should be able to 'initiate or join a session from anywhere without installing the product' — draw.io fully satisfies both requirements. A desktop application is also available but not required.</t>
  </si>
  <si>
    <t>https://peaklab.fr/en/glossaire/draw-io</t>
  </si>
  <si>
    <t>Miro automatically snapshots a board's full history hourly (when changes are made) and at the end of every collaborative session, retains versions for 90 days, and lets any prior version be restored as a separate board, meeting Venter &amp; De Vries's (2025) requirement to  view, track, and restore previous versions. However, Board History Versions are unavailable on the Free plan, and in-session Undo/Redo is capped at 30 actions and clears on page refresh, so protection against accidental changes is materially weaker for unpaid users than the always-on history Riemer et al. (2011) and Aleem et al. (2012) call for.</t>
  </si>
  <si>
    <t>https://help.miro.com/hc/en-us/articles/360021668819-Board-history-versions</t>
  </si>
  <si>
    <t>draw.io supports basic session management through shared diagram links — users click a link to join, edit collaboratively, and simply close the tab to leave. However, there is no formal session initiation with a defined start time, no session termination control, and no participant list management. Hao (2023, p.82) describes the need for 'initiation, participation, termination, and administration of modeling sessions' — draw.io covers joining and basic participation but not formal session administration.</t>
  </si>
  <si>
    <t>draw.io (diagrams.net) is completely free and open source. The full feature set including XML export, custom libraries, multi-page diagrams, and browser-based collaboration is available at no cost. Venter &amp; De Vries (2025, p.17) note that many tools identified in their review 'are no longer freely available' — draw.io stands out as a fully free, actively maintained tool. This was a key factor in its suitability for this student assignment where no commercial software license budget was available.</t>
  </si>
  <si>
    <t>https://marketplace.atlassian.com/apps/1210933/draw-io-diagrams-uml-bpmn-aws-erd-flowcharts</t>
  </si>
  <si>
    <t>Every change on a Miro board is written to the cloud in real time as it happens. There is no manual save step, and no risk of losing work by closing a tab, since edits sync continuously across all connected clients. Venter &amp; De Vries's (2025) describes requirement to enable automatic saving of work at regular intervals, and Miro exceeds interval-based autosave by persisting on every discrete action rather than periodically.</t>
  </si>
  <si>
    <t>https://help.miro.com/hc/en-us/articles/360017730793-Undo-Redo</t>
  </si>
  <si>
    <t>13/15</t>
  </si>
  <si>
    <t xml:space="preserve">Lucid's documentation states that when a document is shared with collaborators and are given editing access, everyone can edit the document at the same time with changes visible in real time. </t>
  </si>
  <si>
    <t>https://help.lucid.co/hc/en-us/articles/13893815605268-Collaborate-in-Lucid</t>
  </si>
  <si>
    <t>draw.io's simple interface allows domain stakeholders (non-modeling experts) to actively contribute to creating and editing model elements. With the custom stencil library provided in this assignment, stakeholders only need to drag pre-typed shapes onto the canvas and rename them. Gutschmidt et al. (2022, Sec.2.1) require that 'stakeholders are actively involved... letting them discuss and create the models jointly' — draw.io enables this for users with minimal training. One point deducted as no facilitator control separates expert and non-expert editing rights.</t>
  </si>
  <si>
    <t>Miro runs entirely in a standard browser at miro.com with zero installation, and even offers 'Miro Lite,' a no-signup, link-based whiteboard for instant ad hoc sessions, satisfying Riemer et al.'s (2011) point that a web-based architecture might facilitate inclusion of a wider circle of modelling partners and Hao's (2023) requirement to initiate or join a session from anywhere... without installing the product. Optional desktop and mobile apps exist but are never required.</t>
  </si>
  <si>
    <t>https://miro.com/online-whiteboard/</t>
  </si>
  <si>
    <t>Miro supports the core session lifecycle informally as a board is 'started' by creating it, participants 'join' via a share link or scheduled Video Call invite, and a facilitator can effectively 'end' access by revoking sharing permissions afterward. Breakout frames also let a facilitator split a large group into sub-sessions on one board. However, unlike Hao's (2023) description of a dedicated Manager Session handling initiation, participation, termination, and administration of modeling sessions, Miro has no formal session object with a defined start time, participant roster, or single-click termination and session boundaries are managed manually through sharing settings rather than natively by the tool.</t>
  </si>
  <si>
    <t>Lucid does not publish a hard participant cap for Lucidchart the way Miro does; its sister product Lucidspark explicitly supports unlimited collaborators while noting only that 'having more than 100 total collaborators on a board can impact performance,' and Lucidchart shares the same real-time sync infrastructure. Since, no Lucid-published benchmark or stress-test figure specific to Lucidchart's simultaneous-editor ceiling could be located, so scaling behavior for larger sessions is inferred rather than documented.</t>
  </si>
  <si>
    <t>https://help.lucid.co/hc/en-us/articles/13592910415380-Guest-Collaborators-in-Lucid</t>
  </si>
  <si>
    <t>Miro's Free plan is permanent and requires no payment card, but is materially restrictive for enterprise modeling work: only 3 editable boards, no private boards, no version history, no video chat, no voting/timer, and none of the specialized BPMN/UML/ERD shape packs relevant to notation support. This partially reflects the spirit of Venter &amp; De Vries's (2025) observation that many collaborative tools 'are no longer freely available,' since Miro's core canvas stays free indefinitely, but a team team would quickly hit the 3-board ceiling and lose access to several other criteria scored in this table.</t>
  </si>
  <si>
    <t>https://help.miro.com/hc/en-us/articles/360017730373-Free-Plan</t>
  </si>
  <si>
    <t>draw.io has no built-in voting, approval, or consensus mechanism. Stakeholders cannot formally signal agreement or disagreement on a model element. Gutschmidt et al. (2022) state that participatory modeling is especially useful 'when consensus among stakeholders is important' — draw.io lacks any feature directly supporting this. Informal consensus can be sought through text comments on elements, but this is not a structured mechanism. External tools must be used.</t>
  </si>
  <si>
    <t>draw.io provides no mechanism to flag or resolve conflicting perspectives on model elements. Gutschmidt et al. (2022) note that participatory sessions make 'conflicting perspectives that may not have been discovered in individual consultations explicit' — but the tool itself must support surfacing these. In draw.io, stakeholders can only overwrite each other's elements or add competing annotations, with no structured conflict resolution workflow.</t>
  </si>
  <si>
    <t>draw.io shows which user made the last change to an element in collaborative sessions via cursor color, and version history (in paid/integrated versions) shows change attribution per user. Gutschmidt et al. (2022, Sec.5.3) require that 'every participant's contributions must be traceable by visualization' — draw.io partially meets this in integrated environments but not in the standalone free version, hence a medium score.</t>
  </si>
  <si>
    <t xml:space="preserve">draw.io has a clean, intuitive interface that non-expert users can learn quickly. Drag-and-drop from shape libraries, simple click-to-connect edges, and browser-based access with no installation lower the barrier significantly. Aleem et al. (2012) and Hao (2023) both note that most tools 'lack simplicity and standardization' for non-technical users — draw.io is notably better than many alternatives. With custom stencils provided, stakeholders only need to drag, drop, and rename shapes, making participation realistic.
</t>
  </si>
  <si>
    <t>https://drawio-app.com/blog/10-reasons-why-you-should-use-draw-io/</t>
  </si>
  <si>
    <t>Miro's drag-and-drop sticky notes, shapes, and cards require no prior modeling training, letting non-expert stakeholders create and edit elements directly rather than only comment. Additionally, Miro AI can additionally generate a first-draft diagram from a plain-text description, lowering the barrier further. However, specialized 4EM/BPMN-style modeling still requires an expert to have pre-built the shape library stakeholders draw from</t>
  </si>
  <si>
    <t>Lucidchart is entirely browser-based (HTML5) and cloud-hosted, letting collaborators join from any location, device, or operating system without installing software. So as mentioned in Hao's (2023) clients initiate or join a modeling session from anywhere in the world using a local network or a remote connection over the Internet. Integrations with Slack, Microsoft Teams, Google Workspace, Jira, and Confluence keep remote participants working inside their existing toolchains rather than switching context to collaborate.</t>
  </si>
  <si>
    <t>Miro's dedicated Voting tool lets a facilitator define a voting area, votes-per-person, and session duration, run fully anonymous voting, and publish results. Combined with Private/Anonymous mode for bias-free initial input ahead of group discussion, Miro offers a structured consensus mechanism. However, Voting is unavailable on the Free plan.</t>
  </si>
  <si>
    <t>https://help.miro.com/hc/en-us/articles/360017572274-Voting</t>
  </si>
  <si>
    <t xml:space="preserve">Lucid's help center confirms each collaborator gets a live, color-coded cursor labeled with their name, a 'Follow' feature that lets one user see exactly what another is seeing in real time, and an optional color legend mapping each collaborator to their assigned color. This </t>
  </si>
  <si>
    <t>Miro's Private/Anonymous mode lets participants submit sticky notes without seeing others' input until a facilitator reveals everything at once, directly reducing the anchoring bias that can suppress conflicting views before they surface.  However, Miro has no dedicated feature to flag, tag, or formally track a disagreement once it surfaces (no 'disputed' status or resolution workflow), so actually working through a conflict still relies on ad hoc comments, voting, or verbal discussion echoing Aleem et al.'s (2012) observation that this remains generally unaddressed by modeling tools.</t>
  </si>
  <si>
    <t>https://help.miro.com/hc/en-us/articles/9794413310482-Private-mode</t>
  </si>
  <si>
    <t>Lucidchart includes in-editor chat, ephemeral 'cursor chat' (a keyboard shortcut lets a short message float above your cursor for collaborators to see), and shape-specific threaded comments with @mentions. However, there is no built-in audio/video calling capability.</t>
  </si>
  <si>
    <t>draw.io provides only basic sharing permissions (view/edit) with no dedicated facilitator role. There is no session leader functionality, no ability to lock the board for all participants, and no presenter mode. Gutschmidt et al. (2022) specify that a facilitator who leads the discussion must be distinct from the tool operator — draw.io does not support this role separation. This is a significant gap for participatory enterprise modeling sessions.</t>
  </si>
  <si>
    <t xml:space="preserve">Lucid's real-time sync engine merges simultaneous edits from multiple collaborators without a visible lock-and-wait mechanism, so in practice two people can work on the same document concurrently. However, no Lucid documentation describes an explicit conflict-detection dialog, merge-conflict notification, or resolution interface for the rare case where two users edit the identical shape's properties at the same instant. </t>
  </si>
  <si>
    <t>Every object on a Miro board carries creator and last-modified metadata visible via its Info panel, and the board-wide Activity log records who added, changed, or deleted each item in real time, color-coded to each collaborator's cursor. Thus implementing  Gutschmidt et al.'s (2022) requirement that every participant's contributions to the model must be traceable. However, the Activity log retains only the most recent change per object (earlier edits by the same contributor are overwritten in the list), and full historical attribution depends on paid-plan Board History.</t>
  </si>
  <si>
    <t>https://help.miro.com/hc/en-us/articles/360017730913-Board-history-activity</t>
  </si>
  <si>
    <t>17/30</t>
  </si>
  <si>
    <t>Miro's own workshop documentation highlights that 'first-time (and not-so-tech-savvy) guests learn quickly and easily how to navigate Miro and use basic tools like sticky notes,' and 'Miro Lite' (no-signup mode) is marketed as suitable even for casual tutoring use providing evidence that the core interaction model (drag, click, type) requires minimal onboarding.  This directly addresses Aleem et al.'s (2012) and Hao's (2023) shared concern that most modeling approaches lack standardization and simplicity for non-technical persons.However some complex, notation-heavy diagrams (BPMN/UML) still carry a real learning curve.</t>
  </si>
  <si>
    <t>https://miro.com/virtual-workshops/facilitation/</t>
  </si>
  <si>
    <t>Lucidchart ships dedicated BPMN 2.0, UML, and ERD shape libraries with sophisticated contextual controls like, setting a task's Activity Type, Task Type, and any number of behavior markers, or adding UML/ERD multiplicity and cardinality notation directly from a shape's property panel. However, the BPMN library contain only a generic gateway shape by default, with the full set of Exclusive/Parallel/Inclusive gateway types hidden behind a shape's 'Advanced Options' panel, and has no native 4EM notation.</t>
  </si>
  <si>
    <t>https://lucid.co/diagram/bpmn/symbols</t>
  </si>
  <si>
    <t>Miro provides a dedicated Attention Management suite (Follow, Bring to me, Bring everyone to me), Presenter/Interactive Presentation Mode, element Lock/Protected Lock to prevent participants from moving or editing content, and facilitator-only controls for starting and ending Voting, Timer, and Private mode sessions. However, Miro has no distinct 'Facilitator' role in its permission model as distinguished by Gutschmidt et al. (2022), but Miro bundles facilitation capabilities into the general Editor/Co-owner role rather than a specific named role.</t>
  </si>
  <si>
    <t>Lucidchart's BPMN and Swimlane libraries provide dedicated Pool and Lane objects explicitly designed, per Lucid's own tutorial content, to show 'who, what, and when' across multiple roles or departments within a single diagram. Lucid's dedicated webinar series on swimlane best practices further indicates this is a mature, well-documented part of the product rather than an edge-case feature.</t>
  </si>
  <si>
    <t>https://www.lucidchart.com/blog/webisodes-with-alec-sharp-swimlane-diagrams</t>
  </si>
  <si>
    <t xml:space="preserve">Lucidchart offers a searchable library of hundreds of templates alongside dozens of specialized shape libraries (BPMN, UML, ERD, network, org chart, and more), and lets teams save, customize, and reuse their own templates and shape sets. Even though users of all tiers can create and share thier own template, some premium templates are only available out of the box to paying users.  </t>
  </si>
  <si>
    <t>Lucidchart's Document Status feature lets a team tag each document as 'Draft,' 'Pending Review,' 'Complete,' or a custom status directly from the documents page, giving a simple but explicit phase-tracking mechanism. However, this status applies at the whole-document level rather than to individual model elements, so it cannot track one 4EM construct through Draft/Review/Approved independently of the rest of the diagram</t>
  </si>
  <si>
    <t>https://lucid.co/blog/7-best-practices-for-collaborating-in-lucidchart</t>
  </si>
  <si>
    <t>Lucidchart's Diagram Keys feature lets a team attach a legend defining what specific shapes, colors, or icons mean directly within the document, giving collaborators explicit shared context the moment they open it. Combined with threaded, resolvable comments for element-level clarification, this gives Lucidchart both a document-wide and an element-level mechanism for aligning understanding, though there is still no formal glossary/data-dictionary object distinct from the legend.</t>
  </si>
  <si>
    <t>Lucidchart natively exports a CSV of shape data through the standard download menu, but Lucid's own community team confirms directly that exporting as an XML file is not supported, despite Lucidchart being able to import XML files from draw.io. This is a meaningful gap against Riemer et al.'s (2011) requirement that export formats keep a model independent of a particular tool for the purpose of exchange with a wider audience. A diagram built natively in Lucidchart cannot be exported as XML and only as Visio VDX/VSDX and JSON.</t>
  </si>
  <si>
    <t>https://community.lucid.co/product-questions-3/common-format-for-lucidchart-export-and-import-869</t>
  </si>
  <si>
    <t>Lucidchart supports genuinely bidirectional cross-platform exchange and  it can import diagrams from Visio (.vdx/.vsdx/.vsd), Gliffy, OmniGraffle, and draw.io XML files directly through File &gt; Import Diagram, and can export back out to Visio VDX/VSDX. However, an independent migration report documented real data loss (broken connections, missing shape data) when round-tripping complex diagrams through the VDX/VSDX export, so fidelity is not guaranteed for larger, more complex models.</t>
  </si>
  <si>
    <t>https://help.lucid.co/hc/en-us/articles/16389149809428-Import-files-into-Lucidchart</t>
  </si>
  <si>
    <t xml:space="preserve">Beyond CSV, Lucid's official export documentation confirms Lucidchart can export a document as JSON in addition to image/PDF/Visio formats so, structured data export is available directly through the standard UI rather than requiring developer API access. However, the precise structural fidelity of the JSON export (e.g., whether every connector relationship and custom shape-data field survives) is not fully documented by Lucid, and was reported as incomplete for some complex diagrams by third-party migration consultants. </t>
  </si>
  <si>
    <t>https://help.lucid.co/hc/en-us/articles/16324571257492-Export-or-print-a-Lucid-document</t>
  </si>
  <si>
    <t>Lucidchart provides four distinct sharing tiers per collaborator or link: Can View, Can Comment, Can Edit, and Can Edit and Share, and is adjustable per user or group at any time, plus a passcode-based Join ID for controlled onboarding of large groups. However, no Lucid documentation confirming link password-protection or link-expiry policies could be located for Lucidchart specifically.</t>
  </si>
  <si>
    <t>https://help.lucid.co/hc/en-us/articles/4642423138196-Share-with-collaborators-in-Lucid</t>
  </si>
  <si>
    <t>Enterprise and Team accounts in Lucid support organization-level admin controls, user groups/teams, and a distinct 'limited-access user' tier that grants free view-only access to Lucidchart documents. However, Lucid's documentation does not describe as many distinctly named administrative role types (e.g., separate Security Admin, Content Admin)</t>
  </si>
  <si>
    <t>https://community.lucid.co/admin-questions-2/what-collaborator-capabilities-do-my-limited-access-users-have-on-my-enterprise-account-11289</t>
  </si>
  <si>
    <t>Lucid's Revision History captures the complete change timeline of a document, from the first object dragged onto the page to the last save, attributes every change to the collaborator who made it with a date/time stamp, and lets any version be restored or spun off as a new document. However, full Revision History in Lucidchart requires a Team or Enterprise subscription and is unavailable on the Free plan.</t>
  </si>
  <si>
    <t>https://help.lucid.co/hc/en-us/articles/16079471374996-Revision-history-in-Lucid</t>
  </si>
  <si>
    <t>Lucid confirms documents are 'auto-saved on a regular basis' to the cloud with no manual save step required. However, Lucid's own community support threads document recurring (if described as 'rare') cases where saving stalls under unstable network conditions, requiring users to avoid closing the tab until a 'Saving...' indicator clears.</t>
  </si>
  <si>
    <t>https://community.lucid.co/product-questions-3/how-come-my-lucidchart-documents-aren-t-saving-1988</t>
  </si>
  <si>
    <t>Lucidchart is entirely HTML5 browser-based and requires no plugins, downloads, or updates and runs on 'any leading browser' across Windows, Mac, Linux, and Chrome OS. Optional native mobile apps exist for Team/Enterprise accounts but are never required to participate.</t>
  </si>
  <si>
    <t>https://lucid.co/product/lucidchart</t>
  </si>
  <si>
    <t>Lucidchart's Join ID feature generates a shareable passcode that participants enter to access a document. However, there is still no formal session object with a scheduled start time, live participant roster, or single-click termination comparable to Hao's (2023) description of a 'Manager Session' handling initiation, participation, termination, and administration of modeling sessions, and ending a session still means manually revoking the shared link or Join ID afterward.</t>
  </si>
  <si>
    <t>https://lucid.co/blog/getting-started-sharing-and-collaboration</t>
  </si>
  <si>
    <t xml:space="preserve">Lucidchart's Free plan is real and requires no payment card, but is very restrictive with only 3 editable documents at a time, a hard cap of 75 objects (shapes, lines, and text boxes combined) per document, 25MB total storage, and no access to premium shape libraries, revision history, or mobile apps. A modest 4EM diagram with actors, goals, and relationships would likely exceed the 75-object ceiling quickly, so a a paid seat would be needed to do any enterprise modeling task. </t>
  </si>
  <si>
    <t>https://lucid.app/pricing/lucidchart?referer=https%3A%2F%2Fwww.google.com%2F#/pricing/chart</t>
  </si>
  <si>
    <t>Lucidchart's drag-and-drop shape libraries require no prior modeling training, and reviewers consistently describe it as accessible to novice users who can start diagramming within minutes. An AI flowchart generator that converts a plain-text prompt into a diagram lowers the barrier further. However, genuinely correct 4EM-notation modeling still depends on an expert having pre-configured the relevant shape library.</t>
  </si>
  <si>
    <t>https://www.itpro.com/software/lucidchart-review-flexible-and-feature-rich-cloud-based-diagramming-tool</t>
  </si>
  <si>
    <t>Lucidchart itself has no built-in voting, polling, or approval-workflow feature.  Lucid's  documentation places Voting sessions, along with the Timer and facilitator panel, exclusively inside Lucidspark, its separate whiteboarding product, not Lucidchart. Stakeholders can only signal agreement informally through comments or by marking a comment thread resolved, with no structured mechanism to measure or record group consensus on a specific model element.</t>
  </si>
  <si>
    <t>https://help.lucid.co/hc/en-us/articles/14995416237460-Use-Voting-sessions-to-collaborate-in-Lucidspark</t>
  </si>
  <si>
    <t xml:space="preserve">Like the Voting and facilitator tools, Lucid's Private mode for bias-free, anonymous initial input is documented as a Lucidspark-only capability and is not available in Lucidchart. Lucidchart's only mechanism for surfacing disagreement is the ordinary comment thread, which can be replied to and marked resolved but has no formal "disputed" status or structured resolution workflow. </t>
  </si>
  <si>
    <t>https://community.lucid.co/product-questions-3/creating-saving-voting-sessions-ahead-of-a-lucid-session-8188</t>
  </si>
  <si>
    <t xml:space="preserve">Lucidchart displays the creator's name directly on each sticky note/shape via its author display feature, and its full Revision History independently records who made every change to the document and when, with the ability to compare any two versions side by side and fulfils Gutschmidt et al.'s (2022) requirement that every participant's contributions to the model must be traceable. </t>
  </si>
  <si>
    <t>Independent reviewers consistently describe Lucidchart as having a minimal learning curve and being easy to use for the web, and Lucid's own onboarding flow lets a new user self-select as novice, intermediate, or proficient before dropping straight into a template gallery. However, some advanced diagram types still require digging into 'Advanced Options' to access their full symbol set.</t>
  </si>
  <si>
    <t>https://www.uxmatters.com/mt/archives/2015/07/product-review-lucidchart.php</t>
  </si>
  <si>
    <t>Lucidchart provides a 'Follow' feature that lets one collaborator see exactly what another is viewing, plus a document-level Presentation Mode for showcasing a finished diagram but the dedicated facilitator toolkit found for this assignment's other tools (laser pointer, 'take the lead,' broadcast messages, Timer, Voting) is explicitly documented as a Lucidspark-only capability, not part of Lucidchart. Lucidchart itself offers no session-leader controls beyond ordinary Can Edit and Share permissions.</t>
  </si>
  <si>
    <t>https://lucidforeducation.com/canvas-instructor-guide</t>
  </si>
  <si>
    <t>P1</t>
  </si>
  <si>
    <t>Barjis, J. (2011). CPI Modeling: Collaborative, Participative, Interactive Modeling. Proceedings of the 2011 Winter Simulation Conference (WSC). IEEE. doi:10.1109/wsc.2011.6148009</t>
  </si>
  <si>
    <t>Empirical / Case Study</t>
  </si>
  <si>
    <t>P2</t>
  </si>
  <si>
    <t>Venter, C. &amp; De Vries, M. (2025). A Functional Classification and Feature Repository for Participative Enterprise Modelling Tools: An AI-Complemented Multivocal Literature Review. International Journal of Human-Computer Interaction. doi:10.1080/10447318.2025.2595544</t>
  </si>
  <si>
    <t>MLR / Feature Repository</t>
  </si>
  <si>
    <t>P3</t>
  </si>
  <si>
    <t>Riemer, K., Holler, J. &amp; Indulska, M. (2011). Collaborative Process Modelling — Tool Analysis and Design Implications. ECIS 2011 Proceedings, Paper 39. AIS eLibrary.</t>
  </si>
  <si>
    <t>Tool Analysis / Classification</t>
  </si>
  <si>
    <t>P4</t>
  </si>
  <si>
    <t>Hao, X. (2023). Examining Collaborative Business Process Modeling Techniques. Journal of Enterprise and Business Intelligence, 3(2), 75-83. doi:10.53759/5181/JEBI202303008</t>
  </si>
  <si>
    <t>Literature Review</t>
  </si>
  <si>
    <t>P5</t>
  </si>
  <si>
    <t>Aleem, S., Lazarova-Molnar, S. &amp; Mohamed, N. (2012). Collaborative Business Process Modeling Approaches: A Review. Faculty of Information Technology, UAE University.</t>
  </si>
  <si>
    <t>Systematic Review</t>
  </si>
  <si>
    <t>P6</t>
  </si>
  <si>
    <t>Gutschmidt, A., Lantow, B., Hellmanzik, B., Ramforth, B., Wiese, M. &amp; Martins, E. (2022). Participatory modeling from a stakeholder perspective. Software and Systems Modeling. doi:10.1007/s10270-022-01050-3 ★ University of Rostock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</si>
</sst>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7">
    <font>
      <sz val="11.0"/>
      <color rgb="FF000000"/>
      <name val="Calibri"/>
      <scheme val="minor"/>
    </font>
    <font>
      <sz val="12.0"/>
      <color rgb="FF000000"/>
      <name val="Calibri"/>
    </font>
    <font/>
    <font>
      <sz val="12.0"/>
      <color rgb="FF000000"/>
      <name val="Calibri"/>
      <scheme val="minor"/>
    </font>
    <font>
      <b/>
      <sz val="10.0"/>
      <color rgb="FF000000"/>
      <name val="Arial"/>
    </font>
    <font>
      <sz val="7.0"/>
      <color rgb="FF000000"/>
      <name val="Arial"/>
    </font>
    <font>
      <color theme="1"/>
      <name val="Calibri"/>
      <scheme val="minor"/>
    </font>
    <font>
      <color theme="1"/>
      <name val="Calibri"/>
    </font>
    <font>
      <sz val="10.0"/>
      <color rgb="FF000000"/>
      <name val="Arial"/>
    </font>
    <font>
      <sz val="9.0"/>
      <color theme="1"/>
      <name val="Arial"/>
    </font>
    <font>
      <sz val="11.0"/>
      <color rgb="FF000000"/>
      <name val="Calibri"/>
    </font>
    <font>
      <sz val="9.0"/>
      <color rgb="FF374151"/>
      <name val="Monospace"/>
    </font>
    <font>
      <u/>
      <color rgb="FF0000FF"/>
    </font>
    <font>
      <sz val="9.0"/>
      <color rgb="FF374151"/>
      <name val="Arial"/>
    </font>
    <font>
      <u/>
      <color rgb="FF0000FF"/>
    </font>
    <font>
      <sz val="9.0"/>
      <color rgb="FF374151"/>
      <name val="Calibri"/>
    </font>
    <font>
      <b/>
      <sz val="11.0"/>
      <color rgb="FF000000"/>
      <name val="Calibri"/>
    </font>
  </fonts>
  <fills count="15">
    <fill>
      <patternFill patternType="none"/>
    </fill>
    <fill>
      <patternFill patternType="lightGray"/>
    </fill>
    <fill>
      <patternFill patternType="solid">
        <fgColor rgb="FFAFABAB"/>
        <bgColor rgb="FFAFABAB"/>
      </patternFill>
    </fill>
    <fill>
      <patternFill patternType="solid">
        <fgColor rgb="FFE7E6E6"/>
        <bgColor rgb="FFE7E6E6"/>
      </patternFill>
    </fill>
    <fill>
      <patternFill patternType="solid">
        <fgColor rgb="FFFFFFFF"/>
        <bgColor rgb="FFFFFFFF"/>
      </patternFill>
    </fill>
    <fill>
      <patternFill patternType="solid">
        <fgColor rgb="FF8FAADC"/>
        <bgColor rgb="FF8FAADC"/>
      </patternFill>
    </fill>
    <fill>
      <patternFill patternType="solid">
        <fgColor rgb="FFDAE3F3"/>
        <bgColor rgb="FFDAE3F3"/>
      </patternFill>
    </fill>
    <fill>
      <patternFill patternType="solid">
        <fgColor rgb="FFFFE699"/>
        <bgColor rgb="FFFFE699"/>
      </patternFill>
    </fill>
    <fill>
      <patternFill patternType="solid">
        <fgColor rgb="FFFFF2CC"/>
        <bgColor rgb="FFFFF2CC"/>
      </patternFill>
    </fill>
    <fill>
      <patternFill patternType="solid">
        <fgColor rgb="FFA9D18E"/>
        <bgColor rgb="FFA9D18E"/>
      </patternFill>
    </fill>
    <fill>
      <patternFill patternType="solid">
        <fgColor rgb="FFC5E0B4"/>
        <bgColor rgb="FFC5E0B4"/>
      </patternFill>
    </fill>
    <fill>
      <patternFill patternType="solid">
        <fgColor rgb="FFF4B183"/>
        <bgColor rgb="FFF4B183"/>
      </patternFill>
    </fill>
    <fill>
      <patternFill patternType="solid">
        <fgColor rgb="FFF8CBAD"/>
        <bgColor rgb="FFF8CBAD"/>
      </patternFill>
    </fill>
    <fill>
      <patternFill patternType="solid">
        <fgColor rgb="FFFF972F"/>
        <bgColor rgb="FFFF972F"/>
      </patternFill>
    </fill>
    <fill>
      <patternFill patternType="solid">
        <fgColor rgb="FFFFDBB6"/>
        <bgColor rgb="FFFFDBB6"/>
      </patternFill>
    </fill>
  </fills>
  <borders count="14">
    <border/>
    <border>
      <left/>
      <top/>
      <bottom style="thin">
        <color rgb="FFBFBFBF"/>
      </bottom>
    </border>
    <border>
      <top/>
      <bottom style="thin">
        <color rgb="FFBFBFBF"/>
      </bottom>
    </border>
    <border>
      <right/>
      <top/>
      <bottom style="thin">
        <color rgb="FFBFBFBF"/>
      </bottom>
    </border>
    <border>
      <bottom style="thin">
        <color rgb="FFBFBFBF"/>
      </bottom>
    </border>
    <border>
      <left style="thin">
        <color rgb="FFBFBFBF"/>
      </left>
      <right style="thin">
        <color rgb="FFBFBFBF"/>
      </right>
      <top style="thin">
        <color rgb="FFBFBFBF"/>
      </top>
      <bottom style="thin">
        <color rgb="FFBFBFBF"/>
      </bottom>
    </border>
    <border>
      <left/>
      <top style="thin">
        <color rgb="FFBFBFBF"/>
      </top>
      <bottom/>
    </border>
    <border>
      <top style="thin">
        <color rgb="FFBFBFBF"/>
      </top>
      <bottom/>
    </border>
    <border>
      <right/>
      <top style="thin">
        <color rgb="FFBFBFBF"/>
      </top>
      <bottom/>
    </border>
    <border>
      <top style="thin">
        <color rgb="FFBFBFBF"/>
      </top>
    </border>
    <border>
      <left/>
      <top/>
      <bottom/>
    </border>
    <border>
      <top/>
      <bottom/>
    </border>
    <border>
      <right/>
      <top/>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2" fillId="0" fontId="2" numFmtId="0" xfId="0" applyBorder="1" applyFont="1"/>
    <xf borderId="3" fillId="0" fontId="2" numFmtId="0" xfId="0" applyBorder="1" applyFont="1"/>
    <xf borderId="4" fillId="2" fontId="3" numFmtId="0" xfId="0" applyAlignment="1" applyBorder="1" applyFill="1" applyFont="1">
      <alignment horizontal="center" readingOrder="0" vertical="bottom"/>
    </xf>
    <xf borderId="5" fillId="3" fontId="4" numFmtId="0" xfId="0" applyAlignment="1" applyBorder="1" applyFill="1" applyFont="1">
      <alignment shrinkToFit="0" vertical="bottom" wrapText="0"/>
    </xf>
    <xf borderId="4" fillId="0" fontId="2" numFmtId="0" xfId="0" applyBorder="1" applyFont="1"/>
    <xf borderId="5" fillId="3" fontId="5" numFmtId="0" xfId="0" applyAlignment="1" applyBorder="1" applyFill="1" applyFont="1">
      <alignment shrinkToFit="0" vertical="bottom" wrapText="0"/>
    </xf>
    <xf borderId="0" fillId="0" fontId="6" numFmtId="0" xfId="0" applyAlignment="1" applyFont="1">
      <alignment readingOrder="0"/>
    </xf>
    <xf borderId="0" fillId="0" fontId="7" numFmtId="0" xfId="0" applyAlignment="1" applyFont="1">
      <alignment readingOrder="0" shrinkToFit="0" wrapText="1"/>
    </xf>
    <xf borderId="0" fillId="0" fontId="6" numFmtId="0" xfId="0" applyAlignment="1" applyFont="1">
      <alignment readingOrder="0" shrinkToFit="0" wrapText="1"/>
    </xf>
    <xf borderId="5" fillId="3" fontId="8" numFmtId="0" xfId="0" applyAlignment="1" applyBorder="1" applyFill="1" applyFont="1">
      <alignment shrinkToFit="0" vertical="bottom" wrapText="0"/>
    </xf>
    <xf borderId="5" fillId="3" fontId="8" numFmtId="0" xfId="0" applyAlignment="1" applyBorder="1" applyFill="1" applyFont="1">
      <alignment shrinkToFit="0" vertical="bottom" wrapText="1"/>
    </xf>
    <xf borderId="5" fillId="3" fontId="5" numFmtId="0" xfId="0" applyAlignment="1" applyBorder="1" applyFill="1" applyFont="1">
      <alignment shrinkToFit="0" vertical="bottom" wrapText="1"/>
    </xf>
    <xf borderId="0" fillId="0" fontId="9" numFmtId="0" xfId="0" applyAlignment="1" applyFont="1">
      <alignment readingOrder="0" shrinkToFit="0" vertical="top" wrapText="1"/>
    </xf>
    <xf borderId="0" fillId="0" fontId="10" numFmtId="0" xfId="0" applyAlignment="1" applyFont="1">
      <alignment readingOrder="0" shrinkToFit="0" vertical="bottom" wrapText="0"/>
    </xf>
    <xf borderId="0" fillId="0" fontId="10" numFmtId="0" xfId="0" applyAlignment="1" applyFont="1">
      <alignment horizontal="right" readingOrder="0" shrinkToFit="0" vertical="bottom" wrapText="0"/>
    </xf>
    <xf borderId="0" fillId="4" fontId="11" numFmtId="0" xfId="0" applyAlignment="1" applyFill="1" applyFont="1">
      <alignment readingOrder="0" shrinkToFit="0" wrapText="0"/>
    </xf>
    <xf borderId="6" fillId="5" fontId="10" numFmtId="0" xfId="0" applyAlignment="1" applyBorder="1" applyFill="1" applyFont="1">
      <alignment horizontal="center" shrinkToFit="0" vertical="bottom" wrapText="0"/>
    </xf>
    <xf borderId="7" fillId="0" fontId="2" numFmtId="0" xfId="0" applyBorder="1" applyFont="1"/>
    <xf borderId="0" fillId="0" fontId="12" numFmtId="0" xfId="0" applyAlignment="1" applyFont="1">
      <alignment readingOrder="0" shrinkToFit="0" wrapText="1"/>
    </xf>
    <xf borderId="8" fillId="0" fontId="2" numFmtId="0" xfId="0" applyBorder="1" applyFont="1"/>
    <xf borderId="5" fillId="6" fontId="4" numFmtId="0" xfId="0" applyAlignment="1" applyBorder="1" applyFill="1" applyFont="1">
      <alignment shrinkToFit="0" vertical="bottom" wrapText="0"/>
    </xf>
    <xf borderId="5" fillId="6" fontId="5" numFmtId="0" xfId="0" applyAlignment="1" applyBorder="1" applyFill="1" applyFont="1">
      <alignment shrinkToFit="0" vertical="bottom" wrapText="0"/>
    </xf>
    <xf borderId="5" fillId="6" fontId="8" numFmtId="0" xfId="0" applyAlignment="1" applyBorder="1" applyFill="1" applyFont="1">
      <alignment shrinkToFit="0" vertical="bottom" wrapText="0"/>
    </xf>
    <xf borderId="0" fillId="0" fontId="13" numFmtId="0" xfId="0" applyAlignment="1" applyFont="1">
      <alignment readingOrder="0" shrinkToFit="0" wrapText="1"/>
    </xf>
    <xf borderId="5" fillId="6" fontId="8" numFmtId="0" xfId="0" applyAlignment="1" applyBorder="1" applyFill="1" applyFont="1">
      <alignment shrinkToFit="0" vertical="bottom" wrapText="1"/>
    </xf>
    <xf borderId="5" fillId="6" fontId="5" numFmtId="0" xfId="0" applyAlignment="1" applyBorder="1" applyFill="1" applyFont="1">
      <alignment shrinkToFit="0" vertical="bottom" wrapText="1"/>
    </xf>
    <xf borderId="0" fillId="0" fontId="6" numFmtId="0" xfId="0" applyFont="1"/>
    <xf borderId="0" fillId="0" fontId="14" numFmtId="0" xfId="0" applyAlignment="1" applyFont="1">
      <alignment readingOrder="0" shrinkToFit="0" wrapText="1"/>
    </xf>
    <xf borderId="6" fillId="7" fontId="10" numFmtId="0" xfId="0" applyAlignment="1" applyBorder="1" applyFill="1" applyFont="1">
      <alignment horizontal="center" shrinkToFit="0" vertical="bottom" wrapText="0"/>
    </xf>
    <xf borderId="0" fillId="0" fontId="10" numFmtId="0" xfId="0" applyAlignment="1" applyFont="1">
      <alignment readingOrder="0" shrinkToFit="0" vertical="bottom" wrapText="0"/>
    </xf>
    <xf borderId="5" fillId="8" fontId="4" numFmtId="0" xfId="0" applyAlignment="1" applyBorder="1" applyFill="1" applyFont="1">
      <alignment shrinkToFit="0" vertical="bottom" wrapText="0"/>
    </xf>
    <xf borderId="5" fillId="8" fontId="5" numFmtId="0" xfId="0" applyAlignment="1" applyBorder="1" applyFill="1" applyFont="1">
      <alignment shrinkToFit="0" vertical="bottom" wrapText="0"/>
    </xf>
    <xf borderId="5" fillId="8" fontId="8" numFmtId="0" xfId="0" applyAlignment="1" applyBorder="1" applyFill="1" applyFont="1">
      <alignment shrinkToFit="0" vertical="bottom" wrapText="0"/>
    </xf>
    <xf borderId="5" fillId="8" fontId="8" numFmtId="0" xfId="0" applyAlignment="1" applyBorder="1" applyFill="1" applyFont="1">
      <alignment shrinkToFit="0" vertical="bottom" wrapText="1"/>
    </xf>
    <xf borderId="5" fillId="8" fontId="5" numFmtId="0" xfId="0" applyAlignment="1" applyBorder="1" applyFill="1" applyFont="1">
      <alignment shrinkToFit="0" vertical="bottom" wrapText="1"/>
    </xf>
    <xf borderId="0" fillId="0" fontId="15" numFmtId="0" xfId="0" applyAlignment="1" applyFont="1">
      <alignment readingOrder="0" shrinkToFit="0" wrapText="1"/>
    </xf>
    <xf borderId="6" fillId="9" fontId="10" numFmtId="0" xfId="0" applyAlignment="1" applyBorder="1" applyFill="1" applyFont="1">
      <alignment horizontal="center" shrinkToFit="0" vertical="bottom" wrapText="0"/>
    </xf>
    <xf borderId="9" fillId="3" fontId="4" numFmtId="0" xfId="0" applyAlignment="1" applyBorder="1" applyFill="1" applyFont="1">
      <alignment shrinkToFit="0" vertical="bottom" wrapText="0"/>
    </xf>
    <xf borderId="5" fillId="10" fontId="4" numFmtId="0" xfId="0" applyAlignment="1" applyBorder="1" applyFill="1" applyFont="1">
      <alignment shrinkToFit="0" vertical="bottom" wrapText="0"/>
    </xf>
    <xf borderId="9" fillId="3" fontId="5" numFmtId="0" xfId="0" applyAlignment="1" applyBorder="1" applyFill="1" applyFont="1">
      <alignment shrinkToFit="0" vertical="bottom" wrapText="0"/>
    </xf>
    <xf borderId="5" fillId="10" fontId="5" numFmtId="0" xfId="0" applyAlignment="1" applyBorder="1" applyFill="1" applyFont="1">
      <alignment shrinkToFit="0" vertical="bottom" wrapText="0"/>
    </xf>
    <xf borderId="9" fillId="3" fontId="8" numFmtId="0" xfId="0" applyAlignment="1" applyBorder="1" applyFill="1" applyFont="1">
      <alignment shrinkToFit="0" vertical="bottom" wrapText="0"/>
    </xf>
    <xf borderId="5" fillId="10" fontId="8" numFmtId="0" xfId="0" applyAlignment="1" applyBorder="1" applyFill="1" applyFont="1">
      <alignment shrinkToFit="0" vertical="bottom" wrapText="0"/>
    </xf>
    <xf borderId="9" fillId="3" fontId="8" numFmtId="0" xfId="0" applyAlignment="1" applyBorder="1" applyFill="1" applyFont="1">
      <alignment shrinkToFit="0" vertical="bottom" wrapText="1"/>
    </xf>
    <xf borderId="0" fillId="0" fontId="10" numFmtId="0" xfId="0" applyAlignment="1" applyFont="1">
      <alignment shrinkToFit="0" vertical="bottom" wrapText="0"/>
    </xf>
    <xf borderId="5" fillId="10" fontId="8" numFmtId="0" xfId="0" applyAlignment="1" applyBorder="1" applyFill="1" applyFont="1">
      <alignment shrinkToFit="0" vertical="bottom" wrapText="1"/>
    </xf>
    <xf borderId="5" fillId="10" fontId="5" numFmtId="0" xfId="0" applyAlignment="1" applyBorder="1" applyFill="1" applyFont="1">
      <alignment shrinkToFit="0" vertical="bottom" wrapText="1"/>
    </xf>
    <xf borderId="0" fillId="0" fontId="10" numFmtId="0" xfId="0" applyAlignment="1" applyFont="1">
      <alignment shrinkToFit="0" vertical="bottom" wrapText="0"/>
    </xf>
    <xf borderId="6" fillId="11" fontId="10" numFmtId="0" xfId="0" applyAlignment="1" applyBorder="1" applyFill="1" applyFont="1">
      <alignment horizontal="center" shrinkToFit="0" vertical="bottom" wrapText="0"/>
    </xf>
    <xf borderId="5" fillId="12" fontId="4" numFmtId="0" xfId="0" applyAlignment="1" applyBorder="1" applyFill="1" applyFont="1">
      <alignment shrinkToFit="0" vertical="bottom" wrapText="0"/>
    </xf>
    <xf borderId="5" fillId="12" fontId="5" numFmtId="0" xfId="0" applyAlignment="1" applyBorder="1" applyFill="1" applyFont="1">
      <alignment shrinkToFit="0" vertical="bottom" wrapText="0"/>
    </xf>
    <xf borderId="0" fillId="0" fontId="6" numFmtId="0" xfId="0" applyAlignment="1" applyFont="1">
      <alignment shrinkToFit="0" wrapText="1"/>
    </xf>
    <xf borderId="5" fillId="12" fontId="8" numFmtId="0" xfId="0" applyAlignment="1" applyBorder="1" applyFill="1" applyFont="1">
      <alignment shrinkToFit="0" vertical="bottom" wrapText="0"/>
    </xf>
    <xf borderId="5" fillId="12" fontId="8" numFmtId="0" xfId="0" applyAlignment="1" applyBorder="1" applyFill="1" applyFont="1">
      <alignment shrinkToFit="0" vertical="bottom" wrapText="1"/>
    </xf>
    <xf borderId="5" fillId="12" fontId="5" numFmtId="0" xfId="0" applyAlignment="1" applyBorder="1" applyFill="1" applyFont="1">
      <alignment shrinkToFit="0" vertical="bottom" wrapText="1"/>
    </xf>
    <xf borderId="10" fillId="13" fontId="10" numFmtId="0" xfId="0" applyAlignment="1" applyBorder="1" applyFill="1" applyFont="1">
      <alignment horizontal="center" shrinkToFit="0" vertical="center" wrapText="0"/>
    </xf>
    <xf borderId="11" fillId="0" fontId="2" numFmtId="0" xfId="0" applyBorder="1" applyFont="1"/>
    <xf borderId="12" fillId="0" fontId="2" numFmtId="0" xfId="0" applyBorder="1" applyFont="1"/>
    <xf borderId="13" fillId="14" fontId="10" numFmtId="0" xfId="0" applyAlignment="1" applyBorder="1" applyFill="1" applyFont="1">
      <alignment shrinkToFit="0" vertical="bottom" wrapText="0"/>
    </xf>
    <xf borderId="9" fillId="6" fontId="4" numFmtId="0" xfId="0" applyAlignment="1" applyBorder="1" applyFill="1" applyFont="1">
      <alignment shrinkToFit="0" vertical="bottom" wrapText="0"/>
    </xf>
    <xf borderId="13" fillId="14" fontId="10" numFmtId="0" xfId="0" applyAlignment="1" applyBorder="1" applyFill="1" applyFont="1">
      <alignment shrinkToFit="0" vertical="bottom" wrapText="1"/>
    </xf>
    <xf borderId="9" fillId="6" fontId="5" numFmtId="0" xfId="0" applyAlignment="1" applyBorder="1" applyFill="1" applyFont="1">
      <alignment shrinkToFit="0" vertical="bottom" wrapText="0"/>
    </xf>
    <xf borderId="9" fillId="6" fontId="8" numFmtId="0" xfId="0" applyAlignment="1" applyBorder="1" applyFill="1" applyFont="1">
      <alignment shrinkToFit="0" vertical="bottom" wrapText="0"/>
    </xf>
    <xf borderId="9" fillId="6" fontId="8" numFmtId="0" xfId="0" applyAlignment="1" applyBorder="1" applyFill="1" applyFont="1">
      <alignment shrinkToFit="0" vertical="bottom" wrapText="1"/>
    </xf>
    <xf borderId="13" fillId="14" fontId="4" numFmtId="0" xfId="0" applyAlignment="1" applyBorder="1" applyFill="1" applyFont="1">
      <alignment shrinkToFit="0" vertical="bottom" wrapText="0"/>
    </xf>
    <xf borderId="13" fillId="14" fontId="8" numFmtId="0" xfId="0" applyAlignment="1" applyBorder="1" applyFill="1" applyFont="1">
      <alignment shrinkToFit="0" vertical="bottom" wrapText="0"/>
    </xf>
    <xf borderId="13" fillId="14" fontId="8" numFmtId="0" xfId="0" applyAlignment="1" applyBorder="1" applyFill="1" applyFont="1">
      <alignment shrinkToFit="0" vertical="bottom" wrapText="1"/>
    </xf>
    <xf borderId="13" fillId="14" fontId="5" numFmtId="0" xfId="0" applyAlignment="1" applyBorder="1" applyFill="1" applyFont="1">
      <alignment shrinkToFit="0" vertical="bottom" wrapText="1"/>
    </xf>
    <xf borderId="0" fillId="0" fontId="15" numFmtId="0" xfId="0" applyAlignment="1" applyFont="1">
      <alignment shrinkToFit="0" wrapText="1"/>
    </xf>
    <xf borderId="9" fillId="8" fontId="4" numFmtId="0" xfId="0" applyAlignment="1" applyBorder="1" applyFill="1" applyFont="1">
      <alignment shrinkToFit="0" vertical="bottom" wrapText="0"/>
    </xf>
    <xf borderId="9" fillId="8" fontId="5" numFmtId="0" xfId="0" applyAlignment="1" applyBorder="1" applyFill="1" applyFont="1">
      <alignment shrinkToFit="0" vertical="bottom" wrapText="0"/>
    </xf>
    <xf borderId="9" fillId="8" fontId="8" numFmtId="0" xfId="0" applyAlignment="1" applyBorder="1" applyFill="1" applyFont="1">
      <alignment shrinkToFit="0" vertical="bottom" wrapText="0"/>
    </xf>
    <xf borderId="9" fillId="8" fontId="8" numFmtId="0" xfId="0" applyAlignment="1" applyBorder="1" applyFill="1" applyFont="1">
      <alignment shrinkToFit="0" vertical="bottom" wrapText="1"/>
    </xf>
    <xf borderId="9" fillId="10" fontId="4" numFmtId="0" xfId="0" applyAlignment="1" applyBorder="1" applyFill="1" applyFont="1">
      <alignment shrinkToFit="0" vertical="bottom" wrapText="0"/>
    </xf>
    <xf borderId="9" fillId="10" fontId="5" numFmtId="0" xfId="0" applyAlignment="1" applyBorder="1" applyFill="1" applyFont="1">
      <alignment shrinkToFit="0" vertical="bottom" wrapText="0"/>
    </xf>
    <xf borderId="9" fillId="10" fontId="8" numFmtId="0" xfId="0" applyAlignment="1" applyBorder="1" applyFill="1" applyFont="1">
      <alignment shrinkToFit="0" vertical="bottom" wrapText="0"/>
    </xf>
    <xf borderId="9" fillId="10" fontId="8" numFmtId="0" xfId="0" applyAlignment="1" applyBorder="1" applyFill="1" applyFont="1">
      <alignment shrinkToFit="0" vertical="bottom" wrapText="1"/>
    </xf>
    <xf borderId="0" fillId="0" fontId="10" numFmtId="164" xfId="0" applyAlignment="1" applyFont="1" applyNumberFormat="1">
      <alignment shrinkToFit="0" vertical="bottom" wrapText="0"/>
    </xf>
    <xf borderId="0" fillId="12" fontId="4" numFmtId="0" xfId="0" applyAlignment="1" applyFill="1" applyFont="1">
      <alignment shrinkToFit="0" vertical="bottom" wrapText="0"/>
    </xf>
    <xf borderId="0" fillId="12" fontId="5" numFmtId="0" xfId="0" applyAlignment="1" applyFill="1" applyFont="1">
      <alignment shrinkToFit="0" vertical="bottom" wrapText="0"/>
    </xf>
    <xf borderId="0" fillId="12" fontId="8" numFmtId="0" xfId="0" applyAlignment="1" applyFill="1" applyFont="1">
      <alignment shrinkToFit="0" vertical="bottom" wrapText="0"/>
    </xf>
    <xf borderId="0" fillId="12" fontId="8" numFmtId="0" xfId="0" applyAlignment="1" applyFill="1" applyFont="1">
      <alignment shrinkToFit="0" vertical="bottom" wrapText="1"/>
    </xf>
    <xf borderId="0" fillId="14" fontId="4" numFmtId="0" xfId="0" applyAlignment="1" applyFill="1" applyFont="1">
      <alignment shrinkToFit="0" vertical="bottom" wrapText="0"/>
    </xf>
    <xf borderId="0" fillId="14" fontId="10" numFmtId="0" xfId="0" applyAlignment="1" applyFill="1" applyFont="1">
      <alignment shrinkToFit="0" vertical="bottom" wrapText="1"/>
    </xf>
    <xf borderId="0" fillId="14" fontId="8" numFmtId="0" xfId="0" applyAlignment="1" applyFill="1" applyFont="1">
      <alignment shrinkToFit="0" vertical="bottom" wrapText="0"/>
    </xf>
    <xf borderId="0" fillId="14" fontId="8" numFmtId="0" xfId="0" applyAlignment="1" applyFill="1" applyFont="1">
      <alignment shrinkToFit="0" vertical="bottom" wrapText="1"/>
    </xf>
    <xf borderId="0" fillId="0" fontId="7" numFmtId="0" xfId="0" applyAlignment="1" applyFont="1">
      <alignment shrinkToFit="0" wrapText="1"/>
    </xf>
    <xf borderId="0" fillId="0" fontId="6" numFmtId="164" xfId="0" applyAlignment="1" applyFont="1" applyNumberFormat="1">
      <alignment horizontal="left" readingOrder="0"/>
    </xf>
    <xf borderId="0" fillId="0" fontId="9" numFmtId="0" xfId="0" applyAlignment="1" applyFont="1">
      <alignment readingOrder="0" shrinkToFit="0" wrapText="1"/>
    </xf>
    <xf borderId="0" fillId="0" fontId="6" numFmtId="0" xfId="0" applyAlignment="1" applyFont="1">
      <alignment readingOrder="0" shrinkToFit="0" wrapText="1"/>
    </xf>
    <xf borderId="0" fillId="0" fontId="11" numFmtId="0" xfId="0" applyAlignment="1" applyFont="1">
      <alignment readingOrder="0" shrinkToFit="0" wrapText="1"/>
    </xf>
    <xf borderId="0" fillId="0" fontId="11" numFmtId="0" xfId="0" applyAlignment="1" applyFont="1">
      <alignment shrinkToFit="0" wrapText="1"/>
    </xf>
    <xf borderId="5" fillId="4" fontId="4" numFmtId="0" xfId="0" applyAlignment="1" applyBorder="1" applyFill="1" applyFont="1">
      <alignment shrinkToFit="0" vertical="bottom" wrapText="0"/>
    </xf>
    <xf borderId="5" fillId="4" fontId="8" numFmtId="0" xfId="0" applyAlignment="1" applyBorder="1" applyFill="1" applyFont="1">
      <alignment shrinkToFit="0" vertical="bottom" wrapText="1"/>
    </xf>
    <xf borderId="5" fillId="4" fontId="8" numFmtId="0" xfId="0" applyAlignment="1" applyBorder="1" applyFill="1" applyFont="1">
      <alignment shrinkToFit="0" vertical="bottom" wrapText="0"/>
    </xf>
    <xf borderId="0" fillId="0" fontId="16" numFmtId="0" xfId="0" applyAlignment="1" applyFont="1">
      <alignment shrinkToFit="0" vertical="bottom" wrapText="0"/>
    </xf>
    <xf borderId="0" fillId="0" fontId="10"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help.miro.com/hc/en-us/articles/9794413310482-Private-mode" TargetMode="External"/><Relationship Id="rId11" Type="http://schemas.openxmlformats.org/officeDocument/2006/relationships/hyperlink" Target="https://help.miro.com/hc/en-us/articles/360017572754-How-to-export-your-board" TargetMode="External"/><Relationship Id="rId22" Type="http://schemas.openxmlformats.org/officeDocument/2006/relationships/hyperlink" Target="https://miro.com/virtual-workshops/facilitation/" TargetMode="External"/><Relationship Id="rId10" Type="http://schemas.openxmlformats.org/officeDocument/2006/relationships/hyperlink" Target="https://community.miro.com/ask-the-community-45/import-to-and-export-from-miro-3412" TargetMode="External"/><Relationship Id="rId21" Type="http://schemas.openxmlformats.org/officeDocument/2006/relationships/hyperlink" Target="https://help.miro.com/hc/en-us/articles/360017730913-Board-history-activity" TargetMode="External"/><Relationship Id="rId13" Type="http://schemas.openxmlformats.org/officeDocument/2006/relationships/hyperlink" Target="https://help.miro.com/hc/en-us/articles/360017571194-Roles-in-Miro" TargetMode="External"/><Relationship Id="rId24" Type="http://schemas.openxmlformats.org/officeDocument/2006/relationships/drawing" Target="../drawings/drawing2.xml"/><Relationship Id="rId12" Type="http://schemas.openxmlformats.org/officeDocument/2006/relationships/hyperlink" Target="https://help.miro.com/hc/en-us/articles/360017572194-Board-access-rights" TargetMode="External"/><Relationship Id="rId23" Type="http://schemas.openxmlformats.org/officeDocument/2006/relationships/hyperlink" Target="https://help.miro.com/hc/en-us/articles/360013358479-Attention-management" TargetMode="External"/><Relationship Id="rId1" Type="http://schemas.openxmlformats.org/officeDocument/2006/relationships/hyperlink" Target="https://community.miro.com/ideas/editing-same-object-by-multiple-users-at-the-same-time-12341" TargetMode="External"/><Relationship Id="rId2" Type="http://schemas.openxmlformats.org/officeDocument/2006/relationships/hyperlink" Target="https://help.miro.com/hc/en-us/articles/360013912300-How-many-users-can-collaborate-on-a-board-simultaneously" TargetMode="External"/><Relationship Id="rId3" Type="http://schemas.openxmlformats.org/officeDocument/2006/relationships/hyperlink" Target="https://help.miro.com/hc/en-us/articles/360013358479-Attention-management" TargetMode="External"/><Relationship Id="rId4" Type="http://schemas.openxmlformats.org/officeDocument/2006/relationships/hyperlink" Target="https://help.miro.com/hc/en-us/articles/360012753200-Miro-for-workshops-meetings" TargetMode="External"/><Relationship Id="rId9" Type="http://schemas.openxmlformats.org/officeDocument/2006/relationships/hyperlink" Target="https://help.miro.com/hc/en-us/articles/360017730873-Comments" TargetMode="External"/><Relationship Id="rId15" Type="http://schemas.openxmlformats.org/officeDocument/2006/relationships/hyperlink" Target="https://help.miro.com/hc/en-us/articles/360017730793-Undo-Redo" TargetMode="External"/><Relationship Id="rId14" Type="http://schemas.openxmlformats.org/officeDocument/2006/relationships/hyperlink" Target="https://help.miro.com/hc/en-us/articles/360021668819-Board-history-versions" TargetMode="External"/><Relationship Id="rId17" Type="http://schemas.openxmlformats.org/officeDocument/2006/relationships/hyperlink" Target="https://help.miro.com/hc/en-us/articles/360012753200-Miro-for-workshops-meetings" TargetMode="External"/><Relationship Id="rId16" Type="http://schemas.openxmlformats.org/officeDocument/2006/relationships/hyperlink" Target="https://miro.com/online-whiteboard/" TargetMode="External"/><Relationship Id="rId5" Type="http://schemas.openxmlformats.org/officeDocument/2006/relationships/hyperlink" Target="https://community.miro.com/ideas/support-for-all-bpmn-symbols-e-g-event-types-14216" TargetMode="External"/><Relationship Id="rId19" Type="http://schemas.openxmlformats.org/officeDocument/2006/relationships/hyperlink" Target="https://help.miro.com/hc/en-us/articles/360017572274-Voting" TargetMode="External"/><Relationship Id="rId6" Type="http://schemas.openxmlformats.org/officeDocument/2006/relationships/hyperlink" Target="https://help.miro.com/hc/en-us/articles/4403634496402-Miro-for-mapping-diagramming" TargetMode="External"/><Relationship Id="rId18" Type="http://schemas.openxmlformats.org/officeDocument/2006/relationships/hyperlink" Target="https://help.miro.com/hc/en-us/articles/360017730373-Free-Plan" TargetMode="External"/><Relationship Id="rId7" Type="http://schemas.openxmlformats.org/officeDocument/2006/relationships/hyperlink" Target="https://miro.com/collaboration/" TargetMode="External"/><Relationship Id="rId8" Type="http://schemas.openxmlformats.org/officeDocument/2006/relationships/hyperlink" Target="https://help.miro.com/hc/en-us/articles/29188841316114-Kanban"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drawio.com/docs/manual/file-storage-locations-compare/" TargetMode="External"/><Relationship Id="rId10" Type="http://schemas.openxmlformats.org/officeDocument/2006/relationships/hyperlink" Target="https://www.drawio.com/docs/integrations/atlassian/confluence/confluence-cloud-restore-version/" TargetMode="External"/><Relationship Id="rId13" Type="http://schemas.openxmlformats.org/officeDocument/2006/relationships/hyperlink" Target="https://www.drawio.com/docs/manual/collaboration/share-diagrams/" TargetMode="External"/><Relationship Id="rId12" Type="http://schemas.openxmlformats.org/officeDocument/2006/relationships/hyperlink" Target="https://peaklab.fr/en/glossaire/draw-io" TargetMode="External"/><Relationship Id="rId1" Type="http://schemas.openxmlformats.org/officeDocument/2006/relationships/hyperlink" Target="https://www.drawio.com/docs/manual/collaboration/share-diagrams/" TargetMode="External"/><Relationship Id="rId2" Type="http://schemas.openxmlformats.org/officeDocument/2006/relationships/hyperlink" Target="https://www.drawio.com/docs/integrations/atlassian/confluence/collaborative-editing-confluence-cloud/" TargetMode="External"/><Relationship Id="rId3" Type="http://schemas.openxmlformats.org/officeDocument/2006/relationships/hyperlink" Target="https://drawio-app.com/blog/collaborating-within-a-team-where-every-moment-matters/" TargetMode="External"/><Relationship Id="rId4" Type="http://schemas.openxmlformats.org/officeDocument/2006/relationships/hyperlink" Target="https://drawio-app.com/blog/real-time-multi-user-collaborative-diagramming/" TargetMode="External"/><Relationship Id="rId9" Type="http://schemas.openxmlformats.org/officeDocument/2006/relationships/hyperlink" Target="https://drawio-app.com/blog/the-draw-io-glossary/" TargetMode="External"/><Relationship Id="rId15" Type="http://schemas.openxmlformats.org/officeDocument/2006/relationships/hyperlink" Target="https://drawio-app.com/blog/real-time-multi-user-collaborative-diagramming/" TargetMode="External"/><Relationship Id="rId14" Type="http://schemas.openxmlformats.org/officeDocument/2006/relationships/hyperlink" Target="https://marketplace.atlassian.com/apps/1210933/draw-io-diagrams-uml-bpmn-aws-erd-flowcharts" TargetMode="External"/><Relationship Id="rId17" Type="http://schemas.openxmlformats.org/officeDocument/2006/relationships/drawing" Target="../drawings/drawing3.xml"/><Relationship Id="rId16" Type="http://schemas.openxmlformats.org/officeDocument/2006/relationships/hyperlink" Target="https://drawio-app.com/blog/10-reasons-why-you-should-use-draw-io/" TargetMode="External"/><Relationship Id="rId5" Type="http://schemas.openxmlformats.org/officeDocument/2006/relationships/hyperlink" Target="https://www.drawio.com/docs/manual/collaboration/concurrent-editing/" TargetMode="External"/><Relationship Id="rId6" Type="http://schemas.openxmlformats.org/officeDocument/2006/relationships/hyperlink" Target="https://www.drawio.com/docs/features/" TargetMode="External"/><Relationship Id="rId7" Type="http://schemas.openxmlformats.org/officeDocument/2006/relationships/hyperlink" Target="https://www.drawio.com/docs/diagram-types/role-responsibility-diagrams/" TargetMode="External"/><Relationship Id="rId8" Type="http://schemas.openxmlformats.org/officeDocument/2006/relationships/hyperlink" Target="https://www.drawio.com/docs/manual/shape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community.lucid.co/product-questions-3/creating-saving-voting-sessions-ahead-of-a-lucid-session-8188" TargetMode="External"/><Relationship Id="rId11" Type="http://schemas.openxmlformats.org/officeDocument/2006/relationships/hyperlink" Target="https://help.lucid.co/hc/en-us/articles/4642423138196-Share-with-collaborators-in-Lucid" TargetMode="External"/><Relationship Id="rId22" Type="http://schemas.openxmlformats.org/officeDocument/2006/relationships/hyperlink" Target="https://www.uxmatters.com/mt/archives/2015/07/product-review-lucidchart.php" TargetMode="External"/><Relationship Id="rId10" Type="http://schemas.openxmlformats.org/officeDocument/2006/relationships/hyperlink" Target="https://help.lucid.co/hc/en-us/articles/16324571257492-Export-or-print-a-Lucid-document" TargetMode="External"/><Relationship Id="rId21" Type="http://schemas.openxmlformats.org/officeDocument/2006/relationships/hyperlink" Target="https://help.lucid.co/hc/en-us/articles/16079471374996-Revision-history-in-Lucid" TargetMode="External"/><Relationship Id="rId13" Type="http://schemas.openxmlformats.org/officeDocument/2006/relationships/hyperlink" Target="https://help.lucid.co/hc/en-us/articles/16079471374996-Revision-history-in-Lucid" TargetMode="External"/><Relationship Id="rId24" Type="http://schemas.openxmlformats.org/officeDocument/2006/relationships/drawing" Target="../drawings/drawing5.xml"/><Relationship Id="rId12" Type="http://schemas.openxmlformats.org/officeDocument/2006/relationships/hyperlink" Target="https://community.lucid.co/admin-questions-2/what-collaborator-capabilities-do-my-limited-access-users-have-on-my-enterprise-account-11289" TargetMode="External"/><Relationship Id="rId23" Type="http://schemas.openxmlformats.org/officeDocument/2006/relationships/hyperlink" Target="https://lucidforeducation.com/canvas-instructor-guide" TargetMode="External"/><Relationship Id="rId1" Type="http://schemas.openxmlformats.org/officeDocument/2006/relationships/hyperlink" Target="https://help.lucid.co/hc/en-us/articles/13893815605268-Collaborate-in-Lucid" TargetMode="External"/><Relationship Id="rId2" Type="http://schemas.openxmlformats.org/officeDocument/2006/relationships/hyperlink" Target="https://help.lucid.co/hc/en-us/articles/13592910415380-Guest-Collaborators-in-Lucid" TargetMode="External"/><Relationship Id="rId3" Type="http://schemas.openxmlformats.org/officeDocument/2006/relationships/hyperlink" Target="https://help.lucid.co/hc/en-us/articles/13893815605268-Collaborate-in-Lucid" TargetMode="External"/><Relationship Id="rId4" Type="http://schemas.openxmlformats.org/officeDocument/2006/relationships/hyperlink" Target="https://lucid.co/diagram/bpmn/symbols" TargetMode="External"/><Relationship Id="rId9" Type="http://schemas.openxmlformats.org/officeDocument/2006/relationships/hyperlink" Target="https://help.lucid.co/hc/en-us/articles/16389149809428-Import-files-into-Lucidchart" TargetMode="External"/><Relationship Id="rId15" Type="http://schemas.openxmlformats.org/officeDocument/2006/relationships/hyperlink" Target="https://lucid.co/product/lucidchart" TargetMode="External"/><Relationship Id="rId14" Type="http://schemas.openxmlformats.org/officeDocument/2006/relationships/hyperlink" Target="https://community.lucid.co/product-questions-3/how-come-my-lucidchart-documents-aren-t-saving-1988" TargetMode="External"/><Relationship Id="rId17" Type="http://schemas.openxmlformats.org/officeDocument/2006/relationships/hyperlink" Target="https://community.lucid.co/product-questions-3/lucidchart-free-plan-60-shape-restriction-122" TargetMode="External"/><Relationship Id="rId16" Type="http://schemas.openxmlformats.org/officeDocument/2006/relationships/hyperlink" Target="https://lucid.co/blog/getting-started-sharing-and-collaboration" TargetMode="External"/><Relationship Id="rId5" Type="http://schemas.openxmlformats.org/officeDocument/2006/relationships/hyperlink" Target="https://www.lucidchart.com/blog/webisodes-with-alec-sharp-swimlane-diagrams" TargetMode="External"/><Relationship Id="rId19" Type="http://schemas.openxmlformats.org/officeDocument/2006/relationships/hyperlink" Target="https://help.lucid.co/hc/en-us/articles/14995416237460-Use-Voting-sessions-to-collaborate-in-Lucidspark" TargetMode="External"/><Relationship Id="rId6" Type="http://schemas.openxmlformats.org/officeDocument/2006/relationships/hyperlink" Target="https://lucid.co/blog/7-best-practices-for-collaborating-in-lucidchart" TargetMode="External"/><Relationship Id="rId18" Type="http://schemas.openxmlformats.org/officeDocument/2006/relationships/hyperlink" Target="https://www.itpro.com/software/lucidchart-review-flexible-and-feature-rich-cloud-based-diagramming-tool" TargetMode="External"/><Relationship Id="rId7" Type="http://schemas.openxmlformats.org/officeDocument/2006/relationships/hyperlink" Target="https://lucid.co/blog/7-best-practices-for-collaborating-in-lucidchart" TargetMode="External"/><Relationship Id="rId8" Type="http://schemas.openxmlformats.org/officeDocument/2006/relationships/hyperlink" Target="https://community.lucid.co/product-questions-3/common-format-for-lucidchart-export-and-import-869"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18.14"/>
    <col customWidth="1" min="3" max="4" width="36.14"/>
    <col customWidth="1" min="5" max="5" width="20.86"/>
    <col customWidth="1" min="6" max="6" width="36.57"/>
    <col customWidth="1" min="7" max="26" width="8.71"/>
  </cols>
  <sheetData>
    <row r="1">
      <c r="A1" s="1" t="s">
        <v>0</v>
      </c>
      <c r="B1" s="2"/>
      <c r="C1" s="2"/>
      <c r="D1" s="2"/>
      <c r="E1" s="2"/>
      <c r="F1" s="3"/>
    </row>
    <row r="2">
      <c r="A2" s="5" t="s">
        <v>1</v>
      </c>
      <c r="B2" s="7" t="s">
        <v>2</v>
      </c>
      <c r="C2" s="11" t="s">
        <v>6</v>
      </c>
      <c r="D2" s="12" t="s">
        <v>7</v>
      </c>
      <c r="E2" s="13" t="s">
        <v>8</v>
      </c>
      <c r="F2" s="13" t="s">
        <v>10</v>
      </c>
    </row>
    <row r="3">
      <c r="A3" s="5"/>
      <c r="B3" s="7"/>
      <c r="C3" s="11"/>
      <c r="D3" s="12"/>
      <c r="E3" s="13"/>
      <c r="F3" s="13"/>
    </row>
    <row r="4">
      <c r="A4" s="5" t="s">
        <v>12</v>
      </c>
      <c r="B4" s="7" t="s">
        <v>2</v>
      </c>
      <c r="C4" s="11" t="s">
        <v>14</v>
      </c>
      <c r="D4" s="12" t="s">
        <v>15</v>
      </c>
      <c r="E4" s="7" t="s">
        <v>16</v>
      </c>
      <c r="F4" s="13" t="s">
        <v>17</v>
      </c>
    </row>
    <row r="5">
      <c r="A5" s="5" t="s">
        <v>18</v>
      </c>
      <c r="B5" s="7" t="s">
        <v>2</v>
      </c>
      <c r="C5" s="11" t="s">
        <v>19</v>
      </c>
      <c r="D5" s="12" t="s">
        <v>21</v>
      </c>
      <c r="E5" s="13" t="s">
        <v>22</v>
      </c>
      <c r="F5" s="13" t="s">
        <v>23</v>
      </c>
    </row>
    <row r="6">
      <c r="A6" s="5" t="s">
        <v>24</v>
      </c>
      <c r="B6" s="7" t="s">
        <v>2</v>
      </c>
      <c r="C6" s="11" t="s">
        <v>25</v>
      </c>
      <c r="D6" s="12" t="s">
        <v>26</v>
      </c>
      <c r="E6" s="13" t="s">
        <v>27</v>
      </c>
      <c r="F6" s="13" t="s">
        <v>28</v>
      </c>
    </row>
    <row r="7">
      <c r="A7" s="5" t="s">
        <v>29</v>
      </c>
      <c r="B7" s="7" t="s">
        <v>2</v>
      </c>
      <c r="C7" s="11" t="s">
        <v>30</v>
      </c>
      <c r="D7" s="12" t="s">
        <v>31</v>
      </c>
      <c r="E7" s="13" t="s">
        <v>32</v>
      </c>
      <c r="F7" s="13" t="s">
        <v>34</v>
      </c>
    </row>
    <row r="8">
      <c r="A8" s="5" t="s">
        <v>36</v>
      </c>
      <c r="B8" s="7" t="s">
        <v>2</v>
      </c>
      <c r="C8" s="11" t="s">
        <v>37</v>
      </c>
      <c r="D8" s="12" t="s">
        <v>38</v>
      </c>
      <c r="E8" s="13" t="s">
        <v>39</v>
      </c>
      <c r="F8" s="13" t="s">
        <v>40</v>
      </c>
    </row>
    <row r="9">
      <c r="A9" s="18" t="s">
        <v>44</v>
      </c>
      <c r="B9" s="19"/>
      <c r="C9" s="19"/>
      <c r="D9" s="19"/>
      <c r="E9" s="19"/>
      <c r="F9" s="21"/>
    </row>
    <row r="10">
      <c r="A10" s="22" t="s">
        <v>48</v>
      </c>
      <c r="B10" s="23" t="s">
        <v>51</v>
      </c>
      <c r="C10" s="24" t="s">
        <v>52</v>
      </c>
      <c r="D10" s="26" t="s">
        <v>54</v>
      </c>
      <c r="E10" s="27" t="s">
        <v>56</v>
      </c>
      <c r="F10" s="27" t="s">
        <v>57</v>
      </c>
    </row>
    <row r="11">
      <c r="A11" s="22"/>
      <c r="B11" s="23"/>
      <c r="C11" s="24"/>
      <c r="D11" s="26"/>
      <c r="E11" s="27"/>
      <c r="F11" s="27"/>
    </row>
    <row r="12">
      <c r="A12" s="22" t="s">
        <v>58</v>
      </c>
      <c r="B12" s="23" t="s">
        <v>51</v>
      </c>
      <c r="C12" s="24" t="s">
        <v>59</v>
      </c>
      <c r="D12" s="26" t="s">
        <v>60</v>
      </c>
      <c r="E12" s="23" t="s">
        <v>61</v>
      </c>
      <c r="F12" s="27" t="s">
        <v>62</v>
      </c>
    </row>
    <row r="13">
      <c r="A13" s="22" t="s">
        <v>63</v>
      </c>
      <c r="B13" s="23" t="s">
        <v>51</v>
      </c>
      <c r="C13" s="24" t="s">
        <v>64</v>
      </c>
      <c r="D13" s="26" t="s">
        <v>65</v>
      </c>
      <c r="E13" s="27" t="s">
        <v>66</v>
      </c>
      <c r="F13" s="27" t="s">
        <v>67</v>
      </c>
    </row>
    <row r="14">
      <c r="A14" s="22" t="s">
        <v>68</v>
      </c>
      <c r="B14" s="23" t="s">
        <v>51</v>
      </c>
      <c r="C14" s="24" t="s">
        <v>69</v>
      </c>
      <c r="D14" s="26" t="s">
        <v>70</v>
      </c>
      <c r="E14" s="23" t="s">
        <v>71</v>
      </c>
      <c r="F14" s="27" t="s">
        <v>72</v>
      </c>
    </row>
    <row r="15">
      <c r="A15" s="22" t="s">
        <v>73</v>
      </c>
      <c r="B15" s="23" t="s">
        <v>51</v>
      </c>
      <c r="C15" s="24" t="s">
        <v>74</v>
      </c>
      <c r="D15" s="26" t="s">
        <v>76</v>
      </c>
      <c r="E15" s="27" t="s">
        <v>77</v>
      </c>
      <c r="F15" s="27" t="s">
        <v>79</v>
      </c>
    </row>
    <row r="16">
      <c r="A16" s="30" t="s">
        <v>81</v>
      </c>
      <c r="B16" s="19"/>
      <c r="C16" s="19"/>
      <c r="D16" s="19"/>
      <c r="E16" s="19"/>
      <c r="F16" s="21"/>
    </row>
    <row r="17">
      <c r="A17" s="32" t="s">
        <v>83</v>
      </c>
      <c r="B17" s="33" t="s">
        <v>84</v>
      </c>
      <c r="C17" s="34" t="s">
        <v>85</v>
      </c>
      <c r="D17" s="35" t="s">
        <v>86</v>
      </c>
      <c r="E17" s="36" t="s">
        <v>88</v>
      </c>
      <c r="F17" s="36" t="s">
        <v>91</v>
      </c>
    </row>
    <row r="18">
      <c r="A18" s="32" t="s">
        <v>93</v>
      </c>
      <c r="B18" s="33" t="s">
        <v>84</v>
      </c>
      <c r="C18" s="34" t="s">
        <v>94</v>
      </c>
      <c r="D18" s="35" t="s">
        <v>95</v>
      </c>
      <c r="E18" s="33" t="s">
        <v>96</v>
      </c>
      <c r="F18" s="36" t="s">
        <v>98</v>
      </c>
    </row>
    <row r="19">
      <c r="A19" s="32" t="s">
        <v>99</v>
      </c>
      <c r="B19" s="33" t="s">
        <v>84</v>
      </c>
      <c r="C19" s="34" t="s">
        <v>100</v>
      </c>
      <c r="D19" s="35" t="s">
        <v>101</v>
      </c>
      <c r="E19" s="33" t="s">
        <v>102</v>
      </c>
      <c r="F19" s="36" t="s">
        <v>103</v>
      </c>
    </row>
    <row r="20">
      <c r="A20" s="32" t="s">
        <v>104</v>
      </c>
      <c r="B20" s="33" t="s">
        <v>84</v>
      </c>
      <c r="C20" s="34" t="s">
        <v>106</v>
      </c>
      <c r="D20" s="35" t="s">
        <v>107</v>
      </c>
      <c r="E20" s="33" t="s">
        <v>109</v>
      </c>
      <c r="F20" s="36" t="s">
        <v>111</v>
      </c>
    </row>
    <row r="21" ht="15.75" customHeight="1">
      <c r="A21" s="38" t="s">
        <v>112</v>
      </c>
      <c r="B21" s="19"/>
      <c r="C21" s="19"/>
      <c r="D21" s="19"/>
      <c r="E21" s="19"/>
      <c r="F21" s="21"/>
    </row>
    <row r="22" ht="15.75" customHeight="1">
      <c r="A22" s="40" t="s">
        <v>113</v>
      </c>
      <c r="B22" s="42" t="s">
        <v>90</v>
      </c>
      <c r="C22" s="44" t="s">
        <v>114</v>
      </c>
      <c r="D22" s="47" t="s">
        <v>115</v>
      </c>
      <c r="E22" s="42" t="s">
        <v>71</v>
      </c>
      <c r="F22" s="48" t="s">
        <v>119</v>
      </c>
    </row>
    <row r="23" ht="15.75" customHeight="1">
      <c r="A23" s="40" t="s">
        <v>120</v>
      </c>
      <c r="B23" s="42" t="s">
        <v>90</v>
      </c>
      <c r="C23" s="44" t="s">
        <v>121</v>
      </c>
      <c r="D23" s="47" t="s">
        <v>123</v>
      </c>
      <c r="E23" s="48" t="s">
        <v>124</v>
      </c>
      <c r="F23" s="48" t="s">
        <v>125</v>
      </c>
    </row>
    <row r="24" ht="15.75" customHeight="1">
      <c r="A24" s="40" t="s">
        <v>126</v>
      </c>
      <c r="B24" s="42" t="s">
        <v>90</v>
      </c>
      <c r="C24" s="44" t="s">
        <v>127</v>
      </c>
      <c r="D24" s="47" t="s">
        <v>128</v>
      </c>
      <c r="E24" s="42" t="s">
        <v>129</v>
      </c>
      <c r="F24" s="48" t="s">
        <v>130</v>
      </c>
    </row>
    <row r="25" ht="15.75" customHeight="1">
      <c r="A25" s="50" t="s">
        <v>132</v>
      </c>
      <c r="B25" s="19"/>
      <c r="C25" s="19"/>
      <c r="D25" s="19"/>
      <c r="E25" s="19"/>
      <c r="F25" s="21"/>
    </row>
    <row r="26" ht="15.75" customHeight="1">
      <c r="A26" s="51" t="s">
        <v>134</v>
      </c>
      <c r="B26" s="52" t="s">
        <v>110</v>
      </c>
      <c r="C26" s="54" t="s">
        <v>136</v>
      </c>
      <c r="D26" s="55" t="s">
        <v>137</v>
      </c>
      <c r="E26" s="56" t="s">
        <v>138</v>
      </c>
      <c r="F26" s="56" t="s">
        <v>139</v>
      </c>
    </row>
    <row r="27" ht="15.75" customHeight="1">
      <c r="A27" s="51" t="s">
        <v>140</v>
      </c>
      <c r="B27" s="52" t="s">
        <v>110</v>
      </c>
      <c r="C27" s="54" t="s">
        <v>141</v>
      </c>
      <c r="D27" s="55" t="s">
        <v>142</v>
      </c>
      <c r="E27" s="52" t="s">
        <v>143</v>
      </c>
      <c r="F27" s="56" t="s">
        <v>144</v>
      </c>
    </row>
    <row r="28" ht="15.75" customHeight="1">
      <c r="A28" s="51" t="s">
        <v>146</v>
      </c>
      <c r="B28" s="52" t="s">
        <v>110</v>
      </c>
      <c r="C28" s="54" t="s">
        <v>149</v>
      </c>
      <c r="D28" s="55" t="s">
        <v>150</v>
      </c>
      <c r="E28" s="52" t="s">
        <v>151</v>
      </c>
      <c r="F28" s="56" t="s">
        <v>152</v>
      </c>
    </row>
    <row r="29" ht="15.75" customHeight="1">
      <c r="A29" s="57" t="s">
        <v>122</v>
      </c>
      <c r="B29" s="58"/>
      <c r="C29" s="58"/>
      <c r="D29" s="58"/>
      <c r="E29" s="58"/>
      <c r="F29" s="59"/>
    </row>
    <row r="30" ht="15.75" customHeight="1">
      <c r="A30" s="60" t="s">
        <v>159</v>
      </c>
      <c r="B30" s="62" t="s">
        <v>122</v>
      </c>
      <c r="C30" s="62" t="s">
        <v>161</v>
      </c>
      <c r="D30" s="62" t="s">
        <v>162</v>
      </c>
      <c r="E30" s="62" t="s">
        <v>163</v>
      </c>
      <c r="F30" s="62" t="s">
        <v>164</v>
      </c>
    </row>
    <row r="31" ht="15.75" customHeight="1">
      <c r="A31" s="60" t="s">
        <v>165</v>
      </c>
      <c r="B31" s="62" t="s">
        <v>122</v>
      </c>
      <c r="C31" s="62" t="s">
        <v>166</v>
      </c>
      <c r="D31" s="62" t="s">
        <v>167</v>
      </c>
      <c r="E31" s="62" t="s">
        <v>168</v>
      </c>
      <c r="F31" s="62" t="s">
        <v>169</v>
      </c>
    </row>
    <row r="32" ht="15.75" customHeight="1">
      <c r="A32" s="60" t="s">
        <v>170</v>
      </c>
      <c r="B32" s="62" t="s">
        <v>122</v>
      </c>
      <c r="C32" s="62" t="s">
        <v>171</v>
      </c>
      <c r="D32" s="62" t="s">
        <v>172</v>
      </c>
      <c r="E32" s="62" t="s">
        <v>173</v>
      </c>
      <c r="F32" s="62" t="s">
        <v>174</v>
      </c>
    </row>
    <row r="33" ht="15.75" customHeight="1">
      <c r="A33" s="60" t="s">
        <v>175</v>
      </c>
      <c r="B33" s="62" t="s">
        <v>122</v>
      </c>
      <c r="C33" s="62" t="s">
        <v>176</v>
      </c>
      <c r="D33" s="62" t="s">
        <v>177</v>
      </c>
      <c r="E33" s="62" t="s">
        <v>178</v>
      </c>
      <c r="F33" s="62" t="s">
        <v>179</v>
      </c>
    </row>
    <row r="34" ht="15.75" customHeight="1">
      <c r="A34" s="66" t="s">
        <v>184</v>
      </c>
      <c r="B34" s="62" t="s">
        <v>122</v>
      </c>
      <c r="C34" s="67" t="s">
        <v>185</v>
      </c>
      <c r="D34" s="68" t="s">
        <v>187</v>
      </c>
      <c r="E34" s="69" t="s">
        <v>189</v>
      </c>
      <c r="F34" s="69" t="s">
        <v>190</v>
      </c>
    </row>
    <row r="35" ht="15.75" customHeight="1">
      <c r="A35" s="66" t="s">
        <v>192</v>
      </c>
      <c r="B35" s="62" t="s">
        <v>122</v>
      </c>
      <c r="C35" s="67" t="s">
        <v>193</v>
      </c>
      <c r="D35" s="68" t="s">
        <v>194</v>
      </c>
      <c r="E35" s="69" t="s">
        <v>195</v>
      </c>
      <c r="F35" s="69" t="s">
        <v>196</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F1"/>
    <mergeCell ref="A9:F9"/>
    <mergeCell ref="A16:F16"/>
    <mergeCell ref="A21:F21"/>
    <mergeCell ref="A25:F25"/>
    <mergeCell ref="A29:F2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17.14"/>
    <col customWidth="1" min="3" max="3" width="37.29"/>
    <col customWidth="1" min="4" max="4" width="41.43"/>
    <col customWidth="1" min="6" max="6" width="207.29"/>
    <col customWidth="1" min="7" max="7" width="52.43"/>
    <col customWidth="1" min="10" max="10" width="24.14"/>
    <col customWidth="1" min="13" max="13" width="17.14"/>
  </cols>
  <sheetData>
    <row r="1">
      <c r="A1" s="4" t="s">
        <v>0</v>
      </c>
      <c r="B1" s="6"/>
      <c r="C1" s="6"/>
      <c r="D1" s="6"/>
      <c r="E1" s="8" t="s">
        <v>3</v>
      </c>
      <c r="F1" s="9" t="s">
        <v>4</v>
      </c>
      <c r="G1" s="10" t="s">
        <v>5</v>
      </c>
    </row>
    <row r="2">
      <c r="A2" s="5" t="s">
        <v>1</v>
      </c>
      <c r="B2" s="7" t="s">
        <v>2</v>
      </c>
      <c r="C2" s="11" t="s">
        <v>6</v>
      </c>
      <c r="D2" s="12" t="s">
        <v>7</v>
      </c>
      <c r="E2" s="8">
        <v>4.0</v>
      </c>
      <c r="F2" s="14" t="s">
        <v>33</v>
      </c>
      <c r="G2" s="20" t="s">
        <v>42</v>
      </c>
      <c r="J2" s="17" t="s">
        <v>43</v>
      </c>
      <c r="K2" s="8" t="s">
        <v>45</v>
      </c>
      <c r="L2" s="8" t="s">
        <v>46</v>
      </c>
      <c r="M2" s="8" t="s">
        <v>47</v>
      </c>
    </row>
    <row r="3">
      <c r="A3" s="5" t="s">
        <v>12</v>
      </c>
      <c r="B3" s="7" t="s">
        <v>2</v>
      </c>
      <c r="C3" s="11" t="s">
        <v>14</v>
      </c>
      <c r="D3" s="12" t="s">
        <v>15</v>
      </c>
      <c r="E3" s="8">
        <v>5.0</v>
      </c>
      <c r="F3" s="25" t="s">
        <v>78</v>
      </c>
      <c r="G3" s="20" t="s">
        <v>80</v>
      </c>
      <c r="J3" s="8" t="s">
        <v>2</v>
      </c>
      <c r="K3" s="8">
        <f>E8</f>
        <v>25</v>
      </c>
      <c r="L3" s="8">
        <v>30.0</v>
      </c>
      <c r="M3" s="28">
        <f t="shared" ref="M3:M9" si="1">K3/L3</f>
        <v>0.8333333333</v>
      </c>
    </row>
    <row r="4">
      <c r="A4" s="5" t="s">
        <v>18</v>
      </c>
      <c r="B4" s="7" t="s">
        <v>2</v>
      </c>
      <c r="C4" s="11" t="s">
        <v>19</v>
      </c>
      <c r="D4" s="12" t="s">
        <v>21</v>
      </c>
      <c r="E4" s="8">
        <v>5.0</v>
      </c>
      <c r="F4" s="25" t="s">
        <v>118</v>
      </c>
      <c r="G4" s="10"/>
      <c r="J4" s="8" t="s">
        <v>51</v>
      </c>
      <c r="K4" s="8">
        <f>E15</f>
        <v>17</v>
      </c>
      <c r="L4" s="8">
        <v>25.0</v>
      </c>
      <c r="M4" s="28">
        <f t="shared" si="1"/>
        <v>0.68</v>
      </c>
    </row>
    <row r="5">
      <c r="A5" s="5" t="s">
        <v>24</v>
      </c>
      <c r="B5" s="7" t="s">
        <v>2</v>
      </c>
      <c r="C5" s="11" t="s">
        <v>25</v>
      </c>
      <c r="D5" s="12" t="s">
        <v>26</v>
      </c>
      <c r="E5" s="8">
        <v>5.0</v>
      </c>
      <c r="F5" s="25" t="s">
        <v>131</v>
      </c>
      <c r="G5" s="20" t="s">
        <v>133</v>
      </c>
      <c r="J5" s="8" t="s">
        <v>84</v>
      </c>
      <c r="K5" s="8">
        <f>E21</f>
        <v>12</v>
      </c>
      <c r="L5" s="8">
        <v>20.0</v>
      </c>
      <c r="M5" s="28">
        <f t="shared" si="1"/>
        <v>0.6</v>
      </c>
    </row>
    <row r="6">
      <c r="A6" s="5" t="s">
        <v>29</v>
      </c>
      <c r="B6" s="7" t="s">
        <v>2</v>
      </c>
      <c r="C6" s="11" t="s">
        <v>30</v>
      </c>
      <c r="D6" s="12" t="s">
        <v>31</v>
      </c>
      <c r="E6" s="8">
        <v>3.0</v>
      </c>
      <c r="F6" s="25" t="s">
        <v>154</v>
      </c>
      <c r="G6" s="20" t="s">
        <v>156</v>
      </c>
      <c r="J6" s="8" t="s">
        <v>90</v>
      </c>
      <c r="K6" s="8">
        <f>E26</f>
        <v>14</v>
      </c>
      <c r="L6" s="8">
        <v>15.0</v>
      </c>
      <c r="M6" s="28">
        <f t="shared" si="1"/>
        <v>0.9333333333</v>
      </c>
    </row>
    <row r="7">
      <c r="A7" s="5" t="s">
        <v>36</v>
      </c>
      <c r="B7" s="7" t="s">
        <v>2</v>
      </c>
      <c r="C7" s="11" t="s">
        <v>37</v>
      </c>
      <c r="D7" s="12" t="s">
        <v>38</v>
      </c>
      <c r="E7" s="8">
        <v>3.0</v>
      </c>
      <c r="F7" s="25" t="s">
        <v>180</v>
      </c>
      <c r="G7" s="10"/>
      <c r="J7" s="8" t="s">
        <v>110</v>
      </c>
      <c r="K7" s="8">
        <f>E31</f>
        <v>11</v>
      </c>
      <c r="L7" s="8">
        <v>15.0</v>
      </c>
      <c r="M7" s="28">
        <f t="shared" si="1"/>
        <v>0.7333333333</v>
      </c>
    </row>
    <row r="8">
      <c r="A8" s="39"/>
      <c r="B8" s="41"/>
      <c r="C8" s="43"/>
      <c r="D8" s="45"/>
      <c r="E8" s="28">
        <f>SUM(E2:E7)</f>
        <v>25</v>
      </c>
      <c r="F8" s="37"/>
      <c r="G8" s="10"/>
      <c r="J8" s="8" t="s">
        <v>122</v>
      </c>
      <c r="K8" s="8">
        <f>E39</f>
        <v>21</v>
      </c>
      <c r="L8" s="8">
        <v>30.0</v>
      </c>
      <c r="M8" s="28">
        <f t="shared" si="1"/>
        <v>0.7</v>
      </c>
    </row>
    <row r="9">
      <c r="A9" s="18" t="s">
        <v>44</v>
      </c>
      <c r="B9" s="19"/>
      <c r="C9" s="19"/>
      <c r="D9" s="21"/>
      <c r="F9" s="70"/>
      <c r="G9" s="53"/>
      <c r="K9" s="28">
        <f t="shared" ref="K9:L9" si="2">SUM(K3:K8)</f>
        <v>100</v>
      </c>
      <c r="L9" s="28">
        <f t="shared" si="2"/>
        <v>135</v>
      </c>
      <c r="M9" s="28">
        <f t="shared" si="1"/>
        <v>0.7407407407</v>
      </c>
    </row>
    <row r="10">
      <c r="A10" s="22" t="s">
        <v>48</v>
      </c>
      <c r="B10" s="23" t="s">
        <v>51</v>
      </c>
      <c r="C10" s="24" t="s">
        <v>52</v>
      </c>
      <c r="D10" s="26" t="s">
        <v>54</v>
      </c>
      <c r="E10" s="8">
        <v>3.0</v>
      </c>
      <c r="F10" s="25" t="s">
        <v>199</v>
      </c>
      <c r="G10" s="20" t="s">
        <v>201</v>
      </c>
    </row>
    <row r="11">
      <c r="A11" s="22" t="s">
        <v>58</v>
      </c>
      <c r="B11" s="23" t="s">
        <v>51</v>
      </c>
      <c r="C11" s="24" t="s">
        <v>59</v>
      </c>
      <c r="D11" s="26" t="s">
        <v>60</v>
      </c>
      <c r="E11" s="8">
        <v>4.0</v>
      </c>
      <c r="F11" s="25" t="s">
        <v>206</v>
      </c>
      <c r="G11" s="29" t="s">
        <v>207</v>
      </c>
    </row>
    <row r="12">
      <c r="A12" s="22" t="s">
        <v>63</v>
      </c>
      <c r="B12" s="23" t="s">
        <v>51</v>
      </c>
      <c r="C12" s="24" t="s">
        <v>64</v>
      </c>
      <c r="D12" s="26" t="s">
        <v>65</v>
      </c>
      <c r="E12" s="8">
        <v>3.0</v>
      </c>
      <c r="F12" s="25" t="s">
        <v>213</v>
      </c>
      <c r="G12" s="29" t="s">
        <v>214</v>
      </c>
    </row>
    <row r="13">
      <c r="A13" s="22" t="s">
        <v>68</v>
      </c>
      <c r="B13" s="23" t="s">
        <v>51</v>
      </c>
      <c r="C13" s="24" t="s">
        <v>69</v>
      </c>
      <c r="D13" s="26" t="s">
        <v>70</v>
      </c>
      <c r="E13" s="8">
        <v>4.0</v>
      </c>
      <c r="F13" s="25" t="s">
        <v>219</v>
      </c>
      <c r="G13" s="20" t="s">
        <v>220</v>
      </c>
    </row>
    <row r="14">
      <c r="A14" s="22" t="s">
        <v>73</v>
      </c>
      <c r="B14" s="23" t="s">
        <v>51</v>
      </c>
      <c r="C14" s="24" t="s">
        <v>74</v>
      </c>
      <c r="D14" s="26" t="s">
        <v>76</v>
      </c>
      <c r="E14" s="8">
        <v>3.0</v>
      </c>
      <c r="F14" s="25" t="s">
        <v>222</v>
      </c>
      <c r="G14" s="29" t="s">
        <v>223</v>
      </c>
    </row>
    <row r="15">
      <c r="A15" s="61"/>
      <c r="B15" s="63"/>
      <c r="C15" s="64"/>
      <c r="D15" s="65"/>
      <c r="E15" s="28">
        <f>SUM(E10:E14)</f>
        <v>17</v>
      </c>
      <c r="F15" s="37"/>
      <c r="G15" s="10"/>
    </row>
    <row r="16">
      <c r="A16" s="30" t="s">
        <v>81</v>
      </c>
      <c r="B16" s="19"/>
      <c r="C16" s="19"/>
      <c r="D16" s="21"/>
      <c r="F16" s="70"/>
      <c r="G16" s="53"/>
    </row>
    <row r="17">
      <c r="A17" s="32" t="s">
        <v>83</v>
      </c>
      <c r="B17" s="33" t="s">
        <v>84</v>
      </c>
      <c r="C17" s="34" t="s">
        <v>85</v>
      </c>
      <c r="D17" s="35" t="s">
        <v>86</v>
      </c>
      <c r="E17" s="8">
        <v>2.0</v>
      </c>
      <c r="F17" s="25" t="s">
        <v>235</v>
      </c>
      <c r="G17" s="29" t="s">
        <v>236</v>
      </c>
    </row>
    <row r="18">
      <c r="A18" s="32" t="s">
        <v>93</v>
      </c>
      <c r="B18" s="33" t="s">
        <v>84</v>
      </c>
      <c r="C18" s="34" t="s">
        <v>94</v>
      </c>
      <c r="D18" s="35" t="s">
        <v>95</v>
      </c>
      <c r="E18" s="8">
        <v>3.0</v>
      </c>
      <c r="F18" s="25" t="s">
        <v>238</v>
      </c>
      <c r="G18" s="10"/>
    </row>
    <row r="19">
      <c r="A19" s="32" t="s">
        <v>99</v>
      </c>
      <c r="B19" s="33" t="s">
        <v>84</v>
      </c>
      <c r="C19" s="34" t="s">
        <v>100</v>
      </c>
      <c r="D19" s="35" t="s">
        <v>101</v>
      </c>
      <c r="E19" s="8">
        <v>2.0</v>
      </c>
      <c r="F19" s="25" t="s">
        <v>240</v>
      </c>
      <c r="G19" s="29" t="s">
        <v>241</v>
      </c>
    </row>
    <row r="20">
      <c r="A20" s="32" t="s">
        <v>104</v>
      </c>
      <c r="B20" s="33" t="s">
        <v>84</v>
      </c>
      <c r="C20" s="34" t="s">
        <v>106</v>
      </c>
      <c r="D20" s="35" t="s">
        <v>107</v>
      </c>
      <c r="E20" s="8">
        <v>5.0</v>
      </c>
      <c r="F20" s="25" t="s">
        <v>244</v>
      </c>
      <c r="G20" s="29" t="s">
        <v>245</v>
      </c>
    </row>
    <row r="21">
      <c r="A21" s="71"/>
      <c r="B21" s="72"/>
      <c r="C21" s="73"/>
      <c r="D21" s="74"/>
      <c r="E21" s="28">
        <f>SUM(E17:E20)</f>
        <v>12</v>
      </c>
      <c r="F21" s="37"/>
      <c r="G21" s="53"/>
    </row>
    <row r="22">
      <c r="A22" s="38" t="s">
        <v>112</v>
      </c>
      <c r="B22" s="19"/>
      <c r="C22" s="19"/>
      <c r="D22" s="21"/>
      <c r="F22" s="70"/>
      <c r="G22" s="53"/>
    </row>
    <row r="23">
      <c r="A23" s="40" t="s">
        <v>113</v>
      </c>
      <c r="B23" s="42" t="s">
        <v>90</v>
      </c>
      <c r="C23" s="44" t="s">
        <v>114</v>
      </c>
      <c r="D23" s="47" t="s">
        <v>115</v>
      </c>
      <c r="E23" s="8">
        <v>5.0</v>
      </c>
      <c r="F23" s="90" t="s">
        <v>248</v>
      </c>
      <c r="G23" s="29" t="s">
        <v>249</v>
      </c>
    </row>
    <row r="24">
      <c r="A24" s="40" t="s">
        <v>120</v>
      </c>
      <c r="B24" s="42" t="s">
        <v>90</v>
      </c>
      <c r="C24" s="44" t="s">
        <v>121</v>
      </c>
      <c r="D24" s="47" t="s">
        <v>123</v>
      </c>
      <c r="E24" s="8">
        <v>4.0</v>
      </c>
      <c r="F24" s="25" t="s">
        <v>252</v>
      </c>
      <c r="G24" s="20" t="s">
        <v>253</v>
      </c>
    </row>
    <row r="25">
      <c r="A25" s="40" t="s">
        <v>126</v>
      </c>
      <c r="B25" s="42" t="s">
        <v>90</v>
      </c>
      <c r="C25" s="44" t="s">
        <v>127</v>
      </c>
      <c r="D25" s="47" t="s">
        <v>128</v>
      </c>
      <c r="E25" s="8">
        <v>5.0</v>
      </c>
      <c r="F25" s="25" t="s">
        <v>257</v>
      </c>
      <c r="G25" s="29" t="s">
        <v>258</v>
      </c>
    </row>
    <row r="26">
      <c r="A26" s="75"/>
      <c r="B26" s="76"/>
      <c r="C26" s="77"/>
      <c r="D26" s="78"/>
      <c r="E26" s="28">
        <f>SUM(E23:E25)</f>
        <v>14</v>
      </c>
      <c r="F26" s="37"/>
      <c r="G26" s="10"/>
      <c r="H26" s="89"/>
    </row>
    <row r="27">
      <c r="A27" s="50" t="s">
        <v>132</v>
      </c>
      <c r="B27" s="19"/>
      <c r="C27" s="19"/>
      <c r="D27" s="21"/>
      <c r="F27" s="70"/>
      <c r="G27" s="53"/>
    </row>
    <row r="28">
      <c r="A28" s="51" t="s">
        <v>134</v>
      </c>
      <c r="B28" s="52" t="s">
        <v>110</v>
      </c>
      <c r="C28" s="54" t="s">
        <v>136</v>
      </c>
      <c r="D28" s="55" t="s">
        <v>137</v>
      </c>
      <c r="E28" s="8">
        <v>5.0</v>
      </c>
      <c r="F28" s="25" t="s">
        <v>263</v>
      </c>
      <c r="G28" s="29" t="s">
        <v>264</v>
      </c>
    </row>
    <row r="29">
      <c r="A29" s="51" t="s">
        <v>140</v>
      </c>
      <c r="B29" s="52" t="s">
        <v>110</v>
      </c>
      <c r="C29" s="54" t="s">
        <v>141</v>
      </c>
      <c r="D29" s="55" t="s">
        <v>142</v>
      </c>
      <c r="E29" s="8">
        <v>3.0</v>
      </c>
      <c r="F29" s="25" t="s">
        <v>265</v>
      </c>
      <c r="G29" s="29" t="s">
        <v>156</v>
      </c>
    </row>
    <row r="30">
      <c r="A30" s="51" t="s">
        <v>146</v>
      </c>
      <c r="B30" s="52" t="s">
        <v>110</v>
      </c>
      <c r="C30" s="54" t="s">
        <v>149</v>
      </c>
      <c r="D30" s="55" t="s">
        <v>150</v>
      </c>
      <c r="E30" s="8">
        <v>3.0</v>
      </c>
      <c r="F30" s="25" t="s">
        <v>268</v>
      </c>
      <c r="G30" s="29" t="s">
        <v>269</v>
      </c>
    </row>
    <row r="31">
      <c r="A31" s="80"/>
      <c r="B31" s="81"/>
      <c r="C31" s="82"/>
      <c r="D31" s="83"/>
      <c r="E31" s="28">
        <f>SUM(E28:E30)</f>
        <v>11</v>
      </c>
      <c r="F31" s="37"/>
      <c r="G31" s="10"/>
    </row>
    <row r="32">
      <c r="A32" s="57" t="s">
        <v>122</v>
      </c>
      <c r="B32" s="58"/>
      <c r="C32" s="58"/>
      <c r="D32" s="59"/>
      <c r="F32" s="70"/>
      <c r="G32" s="53"/>
    </row>
    <row r="33">
      <c r="A33" s="60" t="s">
        <v>159</v>
      </c>
      <c r="B33" s="62" t="s">
        <v>122</v>
      </c>
      <c r="C33" s="62" t="s">
        <v>161</v>
      </c>
      <c r="D33" s="62" t="s">
        <v>162</v>
      </c>
      <c r="E33" s="8">
        <v>4.0</v>
      </c>
      <c r="F33" s="25" t="s">
        <v>275</v>
      </c>
      <c r="G33" s="10"/>
    </row>
    <row r="34">
      <c r="A34" s="60" t="s">
        <v>165</v>
      </c>
      <c r="B34" s="62" t="s">
        <v>122</v>
      </c>
      <c r="C34" s="62" t="s">
        <v>166</v>
      </c>
      <c r="D34" s="62" t="s">
        <v>167</v>
      </c>
      <c r="E34" s="8">
        <v>3.0</v>
      </c>
      <c r="F34" s="25" t="s">
        <v>277</v>
      </c>
      <c r="G34" s="20" t="s">
        <v>278</v>
      </c>
    </row>
    <row r="35">
      <c r="A35" s="60" t="s">
        <v>170</v>
      </c>
      <c r="B35" s="62" t="s">
        <v>122</v>
      </c>
      <c r="C35" s="62" t="s">
        <v>171</v>
      </c>
      <c r="D35" s="62" t="s">
        <v>172</v>
      </c>
      <c r="E35" s="8">
        <v>3.0</v>
      </c>
      <c r="F35" s="25" t="s">
        <v>280</v>
      </c>
      <c r="G35" s="29" t="s">
        <v>281</v>
      </c>
    </row>
    <row r="36">
      <c r="A36" s="60" t="s">
        <v>175</v>
      </c>
      <c r="B36" s="62" t="s">
        <v>122</v>
      </c>
      <c r="C36" s="62" t="s">
        <v>176</v>
      </c>
      <c r="D36" s="62" t="s">
        <v>177</v>
      </c>
      <c r="E36" s="8">
        <v>3.0</v>
      </c>
      <c r="F36" s="25" t="s">
        <v>285</v>
      </c>
      <c r="G36" s="20" t="s">
        <v>286</v>
      </c>
    </row>
    <row r="37">
      <c r="A37" s="66" t="s">
        <v>184</v>
      </c>
      <c r="B37" s="62" t="s">
        <v>122</v>
      </c>
      <c r="C37" s="67" t="s">
        <v>185</v>
      </c>
      <c r="D37" s="68" t="s">
        <v>187</v>
      </c>
      <c r="E37" s="8">
        <v>4.0</v>
      </c>
      <c r="F37" s="25" t="s">
        <v>288</v>
      </c>
      <c r="G37" s="29" t="s">
        <v>289</v>
      </c>
    </row>
    <row r="38">
      <c r="A38" s="66" t="s">
        <v>192</v>
      </c>
      <c r="B38" s="62" t="s">
        <v>122</v>
      </c>
      <c r="C38" s="67" t="s">
        <v>193</v>
      </c>
      <c r="D38" s="68" t="s">
        <v>194</v>
      </c>
      <c r="E38" s="8">
        <v>4.0</v>
      </c>
      <c r="F38" s="25" t="s">
        <v>292</v>
      </c>
      <c r="G38" s="20" t="s">
        <v>133</v>
      </c>
    </row>
    <row r="39">
      <c r="A39" s="84"/>
      <c r="B39" s="85"/>
      <c r="C39" s="86"/>
      <c r="D39" s="87"/>
      <c r="E39" s="28">
        <f>SUM(E33:E38)</f>
        <v>21</v>
      </c>
      <c r="F39" s="92"/>
      <c r="G39" s="53"/>
    </row>
    <row r="40">
      <c r="F40" s="93"/>
      <c r="G40" s="53"/>
    </row>
    <row r="41">
      <c r="F41" s="88"/>
      <c r="G41" s="53"/>
    </row>
    <row r="42">
      <c r="F42" s="88"/>
      <c r="G42" s="53"/>
    </row>
    <row r="43">
      <c r="F43" s="88"/>
      <c r="G43" s="53"/>
    </row>
    <row r="44">
      <c r="F44" s="88"/>
      <c r="G44" s="53"/>
    </row>
    <row r="45">
      <c r="F45" s="88"/>
      <c r="G45" s="53"/>
    </row>
    <row r="46">
      <c r="F46" s="88"/>
      <c r="G46" s="53"/>
    </row>
    <row r="47">
      <c r="F47" s="88"/>
      <c r="G47" s="53"/>
    </row>
    <row r="48">
      <c r="F48" s="88"/>
      <c r="G48" s="53"/>
    </row>
    <row r="49">
      <c r="F49" s="88"/>
      <c r="G49" s="53"/>
    </row>
    <row r="50">
      <c r="F50" s="88"/>
      <c r="G50" s="53"/>
    </row>
    <row r="51">
      <c r="F51" s="88"/>
      <c r="G51" s="53"/>
    </row>
    <row r="52">
      <c r="F52" s="88"/>
      <c r="G52" s="53"/>
    </row>
    <row r="53">
      <c r="F53" s="88"/>
      <c r="G53" s="53"/>
    </row>
    <row r="54">
      <c r="F54" s="88"/>
      <c r="G54" s="53"/>
    </row>
    <row r="55">
      <c r="F55" s="88"/>
      <c r="G55" s="53"/>
    </row>
    <row r="56">
      <c r="F56" s="88"/>
      <c r="G56" s="53"/>
    </row>
    <row r="57">
      <c r="F57" s="88"/>
      <c r="G57" s="53"/>
    </row>
    <row r="58">
      <c r="F58" s="88"/>
      <c r="G58" s="53"/>
    </row>
    <row r="59">
      <c r="F59" s="88"/>
      <c r="G59" s="53"/>
    </row>
    <row r="60">
      <c r="F60" s="88"/>
      <c r="G60" s="53"/>
    </row>
    <row r="61">
      <c r="F61" s="88"/>
      <c r="G61" s="53"/>
    </row>
    <row r="62">
      <c r="F62" s="88"/>
      <c r="G62" s="53"/>
    </row>
    <row r="63">
      <c r="F63" s="88"/>
      <c r="G63" s="53"/>
    </row>
    <row r="64">
      <c r="F64" s="88"/>
      <c r="G64" s="53"/>
    </row>
    <row r="65">
      <c r="F65" s="88"/>
      <c r="G65" s="53"/>
    </row>
    <row r="66">
      <c r="F66" s="88"/>
      <c r="G66" s="53"/>
    </row>
    <row r="67">
      <c r="F67" s="88"/>
      <c r="G67" s="53"/>
    </row>
    <row r="68">
      <c r="F68" s="88"/>
      <c r="G68" s="53"/>
    </row>
    <row r="69">
      <c r="F69" s="88"/>
      <c r="G69" s="53"/>
    </row>
    <row r="70">
      <c r="F70" s="88"/>
      <c r="G70" s="53"/>
    </row>
    <row r="71">
      <c r="F71" s="88"/>
      <c r="G71" s="53"/>
    </row>
    <row r="72">
      <c r="F72" s="88"/>
      <c r="G72" s="53"/>
    </row>
    <row r="73">
      <c r="F73" s="88"/>
      <c r="G73" s="53"/>
    </row>
    <row r="74">
      <c r="F74" s="88"/>
      <c r="G74" s="53"/>
    </row>
    <row r="75">
      <c r="F75" s="88"/>
      <c r="G75" s="53"/>
    </row>
    <row r="76">
      <c r="F76" s="88"/>
      <c r="G76" s="53"/>
    </row>
    <row r="77">
      <c r="F77" s="88"/>
      <c r="G77" s="53"/>
    </row>
    <row r="78">
      <c r="F78" s="88"/>
      <c r="G78" s="53"/>
    </row>
    <row r="79">
      <c r="F79" s="88"/>
      <c r="G79" s="53"/>
    </row>
    <row r="80">
      <c r="F80" s="88"/>
      <c r="G80" s="53"/>
    </row>
    <row r="81">
      <c r="F81" s="88"/>
      <c r="G81" s="53"/>
    </row>
    <row r="82">
      <c r="F82" s="88"/>
      <c r="G82" s="53"/>
    </row>
    <row r="83">
      <c r="F83" s="88"/>
      <c r="G83" s="53"/>
    </row>
    <row r="84">
      <c r="F84" s="88"/>
      <c r="G84" s="53"/>
    </row>
    <row r="85">
      <c r="F85" s="88"/>
      <c r="G85" s="53"/>
    </row>
    <row r="86">
      <c r="F86" s="88"/>
      <c r="G86" s="53"/>
    </row>
    <row r="87">
      <c r="F87" s="88"/>
      <c r="G87" s="53"/>
    </row>
    <row r="88">
      <c r="F88" s="88"/>
      <c r="G88" s="53"/>
    </row>
    <row r="89">
      <c r="F89" s="88"/>
      <c r="G89" s="53"/>
    </row>
    <row r="90">
      <c r="F90" s="88"/>
      <c r="G90" s="53"/>
    </row>
    <row r="91">
      <c r="F91" s="88"/>
      <c r="G91" s="53"/>
    </row>
    <row r="92">
      <c r="F92" s="88"/>
      <c r="G92" s="53"/>
    </row>
    <row r="93">
      <c r="F93" s="88"/>
      <c r="G93" s="53"/>
    </row>
    <row r="94">
      <c r="F94" s="88"/>
      <c r="G94" s="53"/>
    </row>
    <row r="95">
      <c r="F95" s="88"/>
      <c r="G95" s="53"/>
    </row>
    <row r="96">
      <c r="F96" s="88"/>
      <c r="G96" s="53"/>
    </row>
    <row r="97">
      <c r="F97" s="88"/>
      <c r="G97" s="53"/>
    </row>
    <row r="98">
      <c r="F98" s="88"/>
      <c r="G98" s="53"/>
    </row>
    <row r="99">
      <c r="F99" s="88"/>
      <c r="G99" s="53"/>
    </row>
    <row r="100">
      <c r="F100" s="88"/>
      <c r="G100" s="53"/>
    </row>
    <row r="101">
      <c r="F101" s="88"/>
      <c r="G101" s="53"/>
    </row>
    <row r="102">
      <c r="F102" s="88"/>
      <c r="G102" s="53"/>
    </row>
    <row r="103">
      <c r="F103" s="88"/>
      <c r="G103" s="53"/>
    </row>
    <row r="104">
      <c r="F104" s="88"/>
      <c r="G104" s="53"/>
    </row>
    <row r="105">
      <c r="F105" s="88"/>
      <c r="G105" s="53"/>
    </row>
    <row r="106">
      <c r="F106" s="88"/>
      <c r="G106" s="53"/>
    </row>
    <row r="107">
      <c r="F107" s="88"/>
      <c r="G107" s="53"/>
    </row>
    <row r="108">
      <c r="F108" s="88"/>
      <c r="G108" s="53"/>
    </row>
    <row r="109">
      <c r="F109" s="88"/>
      <c r="G109" s="53"/>
    </row>
    <row r="110">
      <c r="F110" s="88"/>
      <c r="G110" s="53"/>
    </row>
    <row r="111">
      <c r="F111" s="88"/>
      <c r="G111" s="53"/>
    </row>
    <row r="112">
      <c r="F112" s="88"/>
      <c r="G112" s="53"/>
    </row>
    <row r="113">
      <c r="F113" s="88"/>
      <c r="G113" s="53"/>
    </row>
    <row r="114">
      <c r="F114" s="88"/>
      <c r="G114" s="53"/>
    </row>
    <row r="115">
      <c r="F115" s="88"/>
      <c r="G115" s="53"/>
    </row>
    <row r="116">
      <c r="F116" s="88"/>
      <c r="G116" s="53"/>
    </row>
    <row r="117">
      <c r="F117" s="88"/>
      <c r="G117" s="53"/>
    </row>
    <row r="118">
      <c r="F118" s="88"/>
      <c r="G118" s="53"/>
    </row>
    <row r="119">
      <c r="F119" s="88"/>
      <c r="G119" s="53"/>
    </row>
    <row r="120">
      <c r="F120" s="88"/>
      <c r="G120" s="53"/>
    </row>
    <row r="121">
      <c r="F121" s="88"/>
      <c r="G121" s="53"/>
    </row>
    <row r="122">
      <c r="F122" s="88"/>
      <c r="G122" s="53"/>
    </row>
    <row r="123">
      <c r="F123" s="88"/>
      <c r="G123" s="53"/>
    </row>
    <row r="124">
      <c r="F124" s="88"/>
      <c r="G124" s="53"/>
    </row>
    <row r="125">
      <c r="F125" s="88"/>
      <c r="G125" s="53"/>
    </row>
    <row r="126">
      <c r="F126" s="88"/>
      <c r="G126" s="53"/>
    </row>
    <row r="127">
      <c r="F127" s="88"/>
      <c r="G127" s="53"/>
    </row>
    <row r="128">
      <c r="F128" s="88"/>
      <c r="G128" s="53"/>
    </row>
    <row r="129">
      <c r="F129" s="88"/>
      <c r="G129" s="53"/>
    </row>
    <row r="130">
      <c r="F130" s="88"/>
      <c r="G130" s="53"/>
    </row>
    <row r="131">
      <c r="F131" s="88"/>
      <c r="G131" s="53"/>
    </row>
    <row r="132">
      <c r="F132" s="88"/>
      <c r="G132" s="53"/>
    </row>
    <row r="133">
      <c r="F133" s="88"/>
      <c r="G133" s="53"/>
    </row>
    <row r="134">
      <c r="F134" s="88"/>
      <c r="G134" s="53"/>
    </row>
    <row r="135">
      <c r="F135" s="88"/>
      <c r="G135" s="53"/>
    </row>
    <row r="136">
      <c r="F136" s="88"/>
      <c r="G136" s="53"/>
    </row>
    <row r="137">
      <c r="F137" s="88"/>
      <c r="G137" s="53"/>
    </row>
    <row r="138">
      <c r="F138" s="88"/>
      <c r="G138" s="53"/>
    </row>
    <row r="139">
      <c r="F139" s="88"/>
      <c r="G139" s="53"/>
    </row>
    <row r="140">
      <c r="F140" s="88"/>
      <c r="G140" s="53"/>
    </row>
    <row r="141">
      <c r="F141" s="88"/>
      <c r="G141" s="53"/>
    </row>
    <row r="142">
      <c r="F142" s="88"/>
      <c r="G142" s="53"/>
    </row>
    <row r="143">
      <c r="F143" s="88"/>
      <c r="G143" s="53"/>
    </row>
    <row r="144">
      <c r="F144" s="88"/>
      <c r="G144" s="53"/>
    </row>
    <row r="145">
      <c r="F145" s="88"/>
      <c r="G145" s="53"/>
    </row>
    <row r="146">
      <c r="F146" s="88"/>
      <c r="G146" s="53"/>
    </row>
    <row r="147">
      <c r="F147" s="88"/>
      <c r="G147" s="53"/>
    </row>
    <row r="148">
      <c r="F148" s="88"/>
      <c r="G148" s="53"/>
    </row>
    <row r="149">
      <c r="F149" s="88"/>
      <c r="G149" s="53"/>
    </row>
    <row r="150">
      <c r="F150" s="88"/>
      <c r="G150" s="53"/>
    </row>
    <row r="151">
      <c r="F151" s="88"/>
      <c r="G151" s="53"/>
    </row>
    <row r="152">
      <c r="F152" s="88"/>
      <c r="G152" s="53"/>
    </row>
    <row r="153">
      <c r="F153" s="88"/>
      <c r="G153" s="53"/>
    </row>
    <row r="154">
      <c r="F154" s="88"/>
      <c r="G154" s="53"/>
    </row>
    <row r="155">
      <c r="F155" s="88"/>
      <c r="G155" s="53"/>
    </row>
    <row r="156">
      <c r="F156" s="88"/>
      <c r="G156" s="53"/>
    </row>
    <row r="157">
      <c r="F157" s="88"/>
      <c r="G157" s="53"/>
    </row>
    <row r="158">
      <c r="F158" s="88"/>
      <c r="G158" s="53"/>
    </row>
    <row r="159">
      <c r="F159" s="88"/>
      <c r="G159" s="53"/>
    </row>
    <row r="160">
      <c r="F160" s="88"/>
      <c r="G160" s="53"/>
    </row>
    <row r="161">
      <c r="F161" s="88"/>
      <c r="G161" s="53"/>
    </row>
    <row r="162">
      <c r="F162" s="88"/>
      <c r="G162" s="53"/>
    </row>
    <row r="163">
      <c r="F163" s="88"/>
      <c r="G163" s="53"/>
    </row>
    <row r="164">
      <c r="F164" s="88"/>
      <c r="G164" s="53"/>
    </row>
    <row r="165">
      <c r="F165" s="88"/>
      <c r="G165" s="53"/>
    </row>
    <row r="166">
      <c r="F166" s="88"/>
      <c r="G166" s="53"/>
    </row>
    <row r="167">
      <c r="F167" s="88"/>
      <c r="G167" s="53"/>
    </row>
    <row r="168">
      <c r="F168" s="88"/>
      <c r="G168" s="53"/>
    </row>
    <row r="169">
      <c r="F169" s="88"/>
      <c r="G169" s="53"/>
    </row>
    <row r="170">
      <c r="F170" s="88"/>
      <c r="G170" s="53"/>
    </row>
    <row r="171">
      <c r="F171" s="88"/>
      <c r="G171" s="53"/>
    </row>
    <row r="172">
      <c r="F172" s="88"/>
      <c r="G172" s="53"/>
    </row>
    <row r="173">
      <c r="F173" s="88"/>
      <c r="G173" s="53"/>
    </row>
    <row r="174">
      <c r="F174" s="88"/>
      <c r="G174" s="53"/>
    </row>
    <row r="175">
      <c r="F175" s="88"/>
      <c r="G175" s="53"/>
    </row>
    <row r="176">
      <c r="F176" s="88"/>
      <c r="G176" s="53"/>
    </row>
    <row r="177">
      <c r="F177" s="88"/>
      <c r="G177" s="53"/>
    </row>
    <row r="178">
      <c r="F178" s="88"/>
      <c r="G178" s="53"/>
    </row>
    <row r="179">
      <c r="F179" s="88"/>
      <c r="G179" s="53"/>
    </row>
    <row r="180">
      <c r="F180" s="88"/>
      <c r="G180" s="53"/>
    </row>
    <row r="181">
      <c r="F181" s="88"/>
      <c r="G181" s="53"/>
    </row>
    <row r="182">
      <c r="F182" s="88"/>
      <c r="G182" s="53"/>
    </row>
    <row r="183">
      <c r="F183" s="88"/>
      <c r="G183" s="53"/>
    </row>
    <row r="184">
      <c r="F184" s="88"/>
      <c r="G184" s="53"/>
    </row>
    <row r="185">
      <c r="F185" s="88"/>
      <c r="G185" s="53"/>
    </row>
    <row r="186">
      <c r="F186" s="88"/>
      <c r="G186" s="53"/>
    </row>
    <row r="187">
      <c r="F187" s="88"/>
      <c r="G187" s="53"/>
    </row>
    <row r="188">
      <c r="F188" s="88"/>
      <c r="G188" s="53"/>
    </row>
    <row r="189">
      <c r="F189" s="88"/>
      <c r="G189" s="53"/>
    </row>
    <row r="190">
      <c r="F190" s="88"/>
      <c r="G190" s="53"/>
    </row>
    <row r="191">
      <c r="F191" s="88"/>
      <c r="G191" s="53"/>
    </row>
    <row r="192">
      <c r="F192" s="88"/>
      <c r="G192" s="53"/>
    </row>
    <row r="193">
      <c r="F193" s="88"/>
      <c r="G193" s="53"/>
    </row>
    <row r="194">
      <c r="F194" s="88"/>
      <c r="G194" s="53"/>
    </row>
    <row r="195">
      <c r="F195" s="88"/>
      <c r="G195" s="53"/>
    </row>
    <row r="196">
      <c r="F196" s="88"/>
      <c r="G196" s="53"/>
    </row>
    <row r="197">
      <c r="F197" s="88"/>
      <c r="G197" s="53"/>
    </row>
    <row r="198">
      <c r="F198" s="88"/>
      <c r="G198" s="53"/>
    </row>
    <row r="199">
      <c r="F199" s="88"/>
      <c r="G199" s="53"/>
    </row>
    <row r="200">
      <c r="F200" s="88"/>
      <c r="G200" s="53"/>
    </row>
    <row r="201">
      <c r="F201" s="88"/>
      <c r="G201" s="53"/>
    </row>
    <row r="202">
      <c r="F202" s="88"/>
      <c r="G202" s="53"/>
    </row>
    <row r="203">
      <c r="F203" s="88"/>
      <c r="G203" s="53"/>
    </row>
    <row r="204">
      <c r="F204" s="88"/>
      <c r="G204" s="53"/>
    </row>
    <row r="205">
      <c r="F205" s="88"/>
      <c r="G205" s="53"/>
    </row>
    <row r="206">
      <c r="F206" s="88"/>
      <c r="G206" s="53"/>
    </row>
    <row r="207">
      <c r="F207" s="88"/>
      <c r="G207" s="53"/>
    </row>
    <row r="208">
      <c r="F208" s="88"/>
      <c r="G208" s="53"/>
    </row>
    <row r="209">
      <c r="F209" s="88"/>
      <c r="G209" s="53"/>
    </row>
    <row r="210">
      <c r="F210" s="88"/>
      <c r="G210" s="53"/>
    </row>
    <row r="211">
      <c r="F211" s="88"/>
      <c r="G211" s="53"/>
    </row>
    <row r="212">
      <c r="F212" s="88"/>
      <c r="G212" s="53"/>
    </row>
    <row r="213">
      <c r="F213" s="88"/>
      <c r="G213" s="53"/>
    </row>
    <row r="214">
      <c r="F214" s="88"/>
      <c r="G214" s="53"/>
    </row>
    <row r="215">
      <c r="F215" s="88"/>
      <c r="G215" s="53"/>
    </row>
    <row r="216">
      <c r="F216" s="88"/>
      <c r="G216" s="53"/>
    </row>
    <row r="217">
      <c r="F217" s="88"/>
      <c r="G217" s="53"/>
    </row>
    <row r="218">
      <c r="F218" s="88"/>
      <c r="G218" s="53"/>
    </row>
    <row r="219">
      <c r="F219" s="88"/>
      <c r="G219" s="53"/>
    </row>
    <row r="220">
      <c r="F220" s="88"/>
      <c r="G220" s="53"/>
    </row>
    <row r="221">
      <c r="F221" s="88"/>
      <c r="G221" s="53"/>
    </row>
    <row r="222">
      <c r="F222" s="88"/>
      <c r="G222" s="53"/>
    </row>
    <row r="223">
      <c r="F223" s="88"/>
      <c r="G223" s="53"/>
    </row>
    <row r="224">
      <c r="F224" s="88"/>
      <c r="G224" s="53"/>
    </row>
    <row r="225">
      <c r="F225" s="88"/>
      <c r="G225" s="53"/>
    </row>
    <row r="226">
      <c r="F226" s="88"/>
      <c r="G226" s="53"/>
    </row>
    <row r="227">
      <c r="F227" s="88"/>
      <c r="G227" s="53"/>
    </row>
    <row r="228">
      <c r="F228" s="88"/>
      <c r="G228" s="53"/>
    </row>
    <row r="229">
      <c r="F229" s="88"/>
      <c r="G229" s="53"/>
    </row>
    <row r="230">
      <c r="F230" s="88"/>
      <c r="G230" s="53"/>
    </row>
    <row r="231">
      <c r="F231" s="88"/>
      <c r="G231" s="53"/>
    </row>
    <row r="232">
      <c r="F232" s="88"/>
      <c r="G232" s="53"/>
    </row>
    <row r="233">
      <c r="F233" s="88"/>
      <c r="G233" s="53"/>
    </row>
    <row r="234">
      <c r="F234" s="88"/>
      <c r="G234" s="53"/>
    </row>
    <row r="235">
      <c r="F235" s="88"/>
      <c r="G235" s="53"/>
    </row>
    <row r="236">
      <c r="F236" s="88"/>
      <c r="G236" s="53"/>
    </row>
    <row r="237">
      <c r="F237" s="88"/>
      <c r="G237" s="53"/>
    </row>
    <row r="238">
      <c r="F238" s="88"/>
      <c r="G238" s="53"/>
    </row>
    <row r="239">
      <c r="F239" s="88"/>
      <c r="G239" s="53"/>
    </row>
    <row r="240">
      <c r="F240" s="88"/>
      <c r="G240" s="53"/>
    </row>
    <row r="241">
      <c r="F241" s="88"/>
      <c r="G241" s="53"/>
    </row>
    <row r="242">
      <c r="F242" s="88"/>
      <c r="G242" s="53"/>
    </row>
    <row r="243">
      <c r="F243" s="88"/>
      <c r="G243" s="53"/>
    </row>
    <row r="244">
      <c r="F244" s="88"/>
      <c r="G244" s="53"/>
    </row>
    <row r="245">
      <c r="F245" s="88"/>
      <c r="G245" s="53"/>
    </row>
    <row r="246">
      <c r="F246" s="88"/>
      <c r="G246" s="53"/>
    </row>
    <row r="247">
      <c r="F247" s="88"/>
      <c r="G247" s="53"/>
    </row>
    <row r="248">
      <c r="F248" s="88"/>
      <c r="G248" s="53"/>
    </row>
    <row r="249">
      <c r="F249" s="88"/>
      <c r="G249" s="53"/>
    </row>
    <row r="250">
      <c r="F250" s="88"/>
      <c r="G250" s="53"/>
    </row>
    <row r="251">
      <c r="F251" s="88"/>
      <c r="G251" s="53"/>
    </row>
    <row r="252">
      <c r="F252" s="88"/>
      <c r="G252" s="53"/>
    </row>
    <row r="253">
      <c r="F253" s="88"/>
      <c r="G253" s="53"/>
    </row>
    <row r="254">
      <c r="F254" s="88"/>
      <c r="G254" s="53"/>
    </row>
    <row r="255">
      <c r="F255" s="88"/>
      <c r="G255" s="53"/>
    </row>
    <row r="256">
      <c r="F256" s="88"/>
      <c r="G256" s="53"/>
    </row>
    <row r="257">
      <c r="F257" s="88"/>
      <c r="G257" s="53"/>
    </row>
    <row r="258">
      <c r="F258" s="88"/>
      <c r="G258" s="53"/>
    </row>
    <row r="259">
      <c r="F259" s="88"/>
      <c r="G259" s="53"/>
    </row>
    <row r="260">
      <c r="F260" s="88"/>
      <c r="G260" s="53"/>
    </row>
    <row r="261">
      <c r="F261" s="88"/>
      <c r="G261" s="53"/>
    </row>
    <row r="262">
      <c r="F262" s="88"/>
      <c r="G262" s="53"/>
    </row>
    <row r="263">
      <c r="F263" s="88"/>
      <c r="G263" s="53"/>
    </row>
    <row r="264">
      <c r="F264" s="88"/>
      <c r="G264" s="53"/>
    </row>
    <row r="265">
      <c r="F265" s="88"/>
      <c r="G265" s="53"/>
    </row>
    <row r="266">
      <c r="F266" s="88"/>
      <c r="G266" s="53"/>
    </row>
    <row r="267">
      <c r="F267" s="88"/>
      <c r="G267" s="53"/>
    </row>
    <row r="268">
      <c r="F268" s="88"/>
      <c r="G268" s="53"/>
    </row>
    <row r="269">
      <c r="F269" s="88"/>
      <c r="G269" s="53"/>
    </row>
    <row r="270">
      <c r="F270" s="88"/>
      <c r="G270" s="53"/>
    </row>
    <row r="271">
      <c r="F271" s="88"/>
      <c r="G271" s="53"/>
    </row>
    <row r="272">
      <c r="F272" s="88"/>
      <c r="G272" s="53"/>
    </row>
    <row r="273">
      <c r="F273" s="88"/>
      <c r="G273" s="53"/>
    </row>
    <row r="274">
      <c r="F274" s="88"/>
      <c r="G274" s="53"/>
    </row>
    <row r="275">
      <c r="F275" s="88"/>
      <c r="G275" s="53"/>
    </row>
    <row r="276">
      <c r="F276" s="88"/>
      <c r="G276" s="53"/>
    </row>
    <row r="277">
      <c r="F277" s="88"/>
      <c r="G277" s="53"/>
    </row>
    <row r="278">
      <c r="F278" s="88"/>
      <c r="G278" s="53"/>
    </row>
    <row r="279">
      <c r="F279" s="88"/>
      <c r="G279" s="53"/>
    </row>
    <row r="280">
      <c r="F280" s="88"/>
      <c r="G280" s="53"/>
    </row>
    <row r="281">
      <c r="F281" s="88"/>
      <c r="G281" s="53"/>
    </row>
    <row r="282">
      <c r="F282" s="88"/>
      <c r="G282" s="53"/>
    </row>
    <row r="283">
      <c r="F283" s="88"/>
      <c r="G283" s="53"/>
    </row>
    <row r="284">
      <c r="F284" s="88"/>
      <c r="G284" s="53"/>
    </row>
    <row r="285">
      <c r="F285" s="88"/>
      <c r="G285" s="53"/>
    </row>
    <row r="286">
      <c r="F286" s="88"/>
      <c r="G286" s="53"/>
    </row>
    <row r="287">
      <c r="F287" s="88"/>
      <c r="G287" s="53"/>
    </row>
    <row r="288">
      <c r="F288" s="88"/>
      <c r="G288" s="53"/>
    </row>
    <row r="289">
      <c r="F289" s="88"/>
      <c r="G289" s="53"/>
    </row>
    <row r="290">
      <c r="F290" s="88"/>
      <c r="G290" s="53"/>
    </row>
    <row r="291">
      <c r="F291" s="88"/>
      <c r="G291" s="53"/>
    </row>
    <row r="292">
      <c r="F292" s="88"/>
      <c r="G292" s="53"/>
    </row>
    <row r="293">
      <c r="F293" s="88"/>
      <c r="G293" s="53"/>
    </row>
    <row r="294">
      <c r="F294" s="88"/>
      <c r="G294" s="53"/>
    </row>
    <row r="295">
      <c r="F295" s="88"/>
      <c r="G295" s="53"/>
    </row>
    <row r="296">
      <c r="F296" s="88"/>
      <c r="G296" s="53"/>
    </row>
    <row r="297">
      <c r="F297" s="88"/>
      <c r="G297" s="53"/>
    </row>
    <row r="298">
      <c r="F298" s="88"/>
      <c r="G298" s="53"/>
    </row>
    <row r="299">
      <c r="F299" s="88"/>
      <c r="G299" s="53"/>
    </row>
    <row r="300">
      <c r="F300" s="88"/>
      <c r="G300" s="53"/>
    </row>
    <row r="301">
      <c r="F301" s="88"/>
      <c r="G301" s="53"/>
    </row>
    <row r="302">
      <c r="F302" s="88"/>
      <c r="G302" s="53"/>
    </row>
    <row r="303">
      <c r="F303" s="88"/>
      <c r="G303" s="53"/>
    </row>
    <row r="304">
      <c r="F304" s="88"/>
      <c r="G304" s="53"/>
    </row>
    <row r="305">
      <c r="F305" s="88"/>
      <c r="G305" s="53"/>
    </row>
    <row r="306">
      <c r="F306" s="88"/>
      <c r="G306" s="53"/>
    </row>
    <row r="307">
      <c r="F307" s="88"/>
      <c r="G307" s="53"/>
    </row>
    <row r="308">
      <c r="F308" s="88"/>
      <c r="G308" s="53"/>
    </row>
    <row r="309">
      <c r="F309" s="88"/>
      <c r="G309" s="53"/>
    </row>
    <row r="310">
      <c r="F310" s="88"/>
      <c r="G310" s="53"/>
    </row>
    <row r="311">
      <c r="F311" s="88"/>
      <c r="G311" s="53"/>
    </row>
    <row r="312">
      <c r="F312" s="88"/>
      <c r="G312" s="53"/>
    </row>
    <row r="313">
      <c r="F313" s="88"/>
      <c r="G313" s="53"/>
    </row>
    <row r="314">
      <c r="F314" s="88"/>
      <c r="G314" s="53"/>
    </row>
    <row r="315">
      <c r="F315" s="88"/>
      <c r="G315" s="53"/>
    </row>
    <row r="316">
      <c r="F316" s="88"/>
      <c r="G316" s="53"/>
    </row>
    <row r="317">
      <c r="F317" s="88"/>
      <c r="G317" s="53"/>
    </row>
    <row r="318">
      <c r="F318" s="88"/>
      <c r="G318" s="53"/>
    </row>
    <row r="319">
      <c r="F319" s="88"/>
      <c r="G319" s="53"/>
    </row>
    <row r="320">
      <c r="F320" s="88"/>
      <c r="G320" s="53"/>
    </row>
    <row r="321">
      <c r="F321" s="88"/>
      <c r="G321" s="53"/>
    </row>
    <row r="322">
      <c r="F322" s="88"/>
      <c r="G322" s="53"/>
    </row>
    <row r="323">
      <c r="F323" s="88"/>
      <c r="G323" s="53"/>
    </row>
    <row r="324">
      <c r="F324" s="88"/>
      <c r="G324" s="53"/>
    </row>
    <row r="325">
      <c r="F325" s="88"/>
      <c r="G325" s="53"/>
    </row>
    <row r="326">
      <c r="F326" s="88"/>
      <c r="G326" s="53"/>
    </row>
    <row r="327">
      <c r="F327" s="88"/>
      <c r="G327" s="53"/>
    </row>
    <row r="328">
      <c r="F328" s="88"/>
      <c r="G328" s="53"/>
    </row>
    <row r="329">
      <c r="F329" s="88"/>
      <c r="G329" s="53"/>
    </row>
    <row r="330">
      <c r="F330" s="88"/>
      <c r="G330" s="53"/>
    </row>
    <row r="331">
      <c r="F331" s="88"/>
      <c r="G331" s="53"/>
    </row>
    <row r="332">
      <c r="F332" s="88"/>
      <c r="G332" s="53"/>
    </row>
    <row r="333">
      <c r="F333" s="88"/>
      <c r="G333" s="53"/>
    </row>
    <row r="334">
      <c r="F334" s="88"/>
      <c r="G334" s="53"/>
    </row>
    <row r="335">
      <c r="F335" s="88"/>
      <c r="G335" s="53"/>
    </row>
    <row r="336">
      <c r="F336" s="88"/>
      <c r="G336" s="53"/>
    </row>
    <row r="337">
      <c r="F337" s="88"/>
      <c r="G337" s="53"/>
    </row>
    <row r="338">
      <c r="F338" s="88"/>
      <c r="G338" s="53"/>
    </row>
    <row r="339">
      <c r="F339" s="88"/>
      <c r="G339" s="53"/>
    </row>
    <row r="340">
      <c r="F340" s="88"/>
      <c r="G340" s="53"/>
    </row>
    <row r="341">
      <c r="F341" s="88"/>
      <c r="G341" s="53"/>
    </row>
    <row r="342">
      <c r="F342" s="88"/>
      <c r="G342" s="53"/>
    </row>
    <row r="343">
      <c r="F343" s="88"/>
      <c r="G343" s="53"/>
    </row>
    <row r="344">
      <c r="F344" s="88"/>
      <c r="G344" s="53"/>
    </row>
    <row r="345">
      <c r="F345" s="88"/>
      <c r="G345" s="53"/>
    </row>
    <row r="346">
      <c r="F346" s="88"/>
      <c r="G346" s="53"/>
    </row>
    <row r="347">
      <c r="F347" s="88"/>
      <c r="G347" s="53"/>
    </row>
    <row r="348">
      <c r="F348" s="88"/>
      <c r="G348" s="53"/>
    </row>
    <row r="349">
      <c r="F349" s="88"/>
      <c r="G349" s="53"/>
    </row>
    <row r="350">
      <c r="F350" s="88"/>
      <c r="G350" s="53"/>
    </row>
    <row r="351">
      <c r="F351" s="88"/>
      <c r="G351" s="53"/>
    </row>
    <row r="352">
      <c r="F352" s="88"/>
      <c r="G352" s="53"/>
    </row>
    <row r="353">
      <c r="F353" s="88"/>
      <c r="G353" s="53"/>
    </row>
    <row r="354">
      <c r="F354" s="88"/>
      <c r="G354" s="53"/>
    </row>
    <row r="355">
      <c r="F355" s="88"/>
      <c r="G355" s="53"/>
    </row>
    <row r="356">
      <c r="F356" s="88"/>
      <c r="G356" s="53"/>
    </row>
    <row r="357">
      <c r="F357" s="88"/>
      <c r="G357" s="53"/>
    </row>
    <row r="358">
      <c r="F358" s="88"/>
      <c r="G358" s="53"/>
    </row>
    <row r="359">
      <c r="F359" s="88"/>
      <c r="G359" s="53"/>
    </row>
    <row r="360">
      <c r="F360" s="88"/>
      <c r="G360" s="53"/>
    </row>
    <row r="361">
      <c r="F361" s="88"/>
      <c r="G361" s="53"/>
    </row>
    <row r="362">
      <c r="F362" s="88"/>
      <c r="G362" s="53"/>
    </row>
    <row r="363">
      <c r="F363" s="88"/>
      <c r="G363" s="53"/>
    </row>
    <row r="364">
      <c r="F364" s="88"/>
      <c r="G364" s="53"/>
    </row>
    <row r="365">
      <c r="F365" s="88"/>
      <c r="G365" s="53"/>
    </row>
    <row r="366">
      <c r="F366" s="88"/>
      <c r="G366" s="53"/>
    </row>
    <row r="367">
      <c r="F367" s="88"/>
      <c r="G367" s="53"/>
    </row>
    <row r="368">
      <c r="F368" s="88"/>
      <c r="G368" s="53"/>
    </row>
    <row r="369">
      <c r="F369" s="88"/>
      <c r="G369" s="53"/>
    </row>
    <row r="370">
      <c r="F370" s="88"/>
      <c r="G370" s="53"/>
    </row>
    <row r="371">
      <c r="F371" s="88"/>
      <c r="G371" s="53"/>
    </row>
    <row r="372">
      <c r="F372" s="88"/>
      <c r="G372" s="53"/>
    </row>
    <row r="373">
      <c r="F373" s="88"/>
      <c r="G373" s="53"/>
    </row>
    <row r="374">
      <c r="F374" s="88"/>
      <c r="G374" s="53"/>
    </row>
    <row r="375">
      <c r="F375" s="88"/>
      <c r="G375" s="53"/>
    </row>
    <row r="376">
      <c r="F376" s="88"/>
      <c r="G376" s="53"/>
    </row>
    <row r="377">
      <c r="F377" s="88"/>
      <c r="G377" s="53"/>
    </row>
    <row r="378">
      <c r="F378" s="88"/>
      <c r="G378" s="53"/>
    </row>
    <row r="379">
      <c r="F379" s="88"/>
      <c r="G379" s="53"/>
    </row>
    <row r="380">
      <c r="F380" s="88"/>
      <c r="G380" s="53"/>
    </row>
    <row r="381">
      <c r="F381" s="88"/>
      <c r="G381" s="53"/>
    </row>
    <row r="382">
      <c r="F382" s="88"/>
      <c r="G382" s="53"/>
    </row>
    <row r="383">
      <c r="F383" s="88"/>
      <c r="G383" s="53"/>
    </row>
    <row r="384">
      <c r="F384" s="88"/>
      <c r="G384" s="53"/>
    </row>
    <row r="385">
      <c r="F385" s="88"/>
      <c r="G385" s="53"/>
    </row>
    <row r="386">
      <c r="F386" s="88"/>
      <c r="G386" s="53"/>
    </row>
    <row r="387">
      <c r="F387" s="88"/>
      <c r="G387" s="53"/>
    </row>
    <row r="388">
      <c r="F388" s="88"/>
      <c r="G388" s="53"/>
    </row>
    <row r="389">
      <c r="F389" s="88"/>
      <c r="G389" s="53"/>
    </row>
    <row r="390">
      <c r="F390" s="88"/>
      <c r="G390" s="53"/>
    </row>
    <row r="391">
      <c r="F391" s="88"/>
      <c r="G391" s="53"/>
    </row>
    <row r="392">
      <c r="F392" s="88"/>
      <c r="G392" s="53"/>
    </row>
    <row r="393">
      <c r="F393" s="88"/>
      <c r="G393" s="53"/>
    </row>
    <row r="394">
      <c r="F394" s="88"/>
      <c r="G394" s="53"/>
    </row>
    <row r="395">
      <c r="F395" s="88"/>
      <c r="G395" s="53"/>
    </row>
    <row r="396">
      <c r="F396" s="88"/>
      <c r="G396" s="53"/>
    </row>
    <row r="397">
      <c r="F397" s="88"/>
      <c r="G397" s="53"/>
    </row>
    <row r="398">
      <c r="F398" s="88"/>
      <c r="G398" s="53"/>
    </row>
    <row r="399">
      <c r="F399" s="88"/>
      <c r="G399" s="53"/>
    </row>
    <row r="400">
      <c r="F400" s="88"/>
      <c r="G400" s="53"/>
    </row>
    <row r="401">
      <c r="F401" s="88"/>
      <c r="G401" s="53"/>
    </row>
    <row r="402">
      <c r="F402" s="88"/>
      <c r="G402" s="53"/>
    </row>
    <row r="403">
      <c r="F403" s="88"/>
      <c r="G403" s="53"/>
    </row>
    <row r="404">
      <c r="F404" s="88"/>
      <c r="G404" s="53"/>
    </row>
    <row r="405">
      <c r="F405" s="88"/>
      <c r="G405" s="53"/>
    </row>
    <row r="406">
      <c r="F406" s="88"/>
      <c r="G406" s="53"/>
    </row>
    <row r="407">
      <c r="F407" s="88"/>
      <c r="G407" s="53"/>
    </row>
    <row r="408">
      <c r="F408" s="88"/>
      <c r="G408" s="53"/>
    </row>
    <row r="409">
      <c r="F409" s="88"/>
      <c r="G409" s="53"/>
    </row>
    <row r="410">
      <c r="F410" s="88"/>
      <c r="G410" s="53"/>
    </row>
    <row r="411">
      <c r="F411" s="88"/>
      <c r="G411" s="53"/>
    </row>
    <row r="412">
      <c r="F412" s="88"/>
      <c r="G412" s="53"/>
    </row>
    <row r="413">
      <c r="F413" s="88"/>
      <c r="G413" s="53"/>
    </row>
    <row r="414">
      <c r="F414" s="88"/>
      <c r="G414" s="53"/>
    </row>
    <row r="415">
      <c r="F415" s="88"/>
      <c r="G415" s="53"/>
    </row>
    <row r="416">
      <c r="F416" s="88"/>
      <c r="G416" s="53"/>
    </row>
    <row r="417">
      <c r="F417" s="88"/>
      <c r="G417" s="53"/>
    </row>
    <row r="418">
      <c r="F418" s="88"/>
      <c r="G418" s="53"/>
    </row>
    <row r="419">
      <c r="F419" s="88"/>
      <c r="G419" s="53"/>
    </row>
    <row r="420">
      <c r="F420" s="88"/>
      <c r="G420" s="53"/>
    </row>
    <row r="421">
      <c r="F421" s="88"/>
      <c r="G421" s="53"/>
    </row>
    <row r="422">
      <c r="F422" s="88"/>
      <c r="G422" s="53"/>
    </row>
    <row r="423">
      <c r="F423" s="88"/>
      <c r="G423" s="53"/>
    </row>
    <row r="424">
      <c r="F424" s="88"/>
      <c r="G424" s="53"/>
    </row>
    <row r="425">
      <c r="F425" s="88"/>
      <c r="G425" s="53"/>
    </row>
    <row r="426">
      <c r="F426" s="88"/>
      <c r="G426" s="53"/>
    </row>
    <row r="427">
      <c r="F427" s="88"/>
      <c r="G427" s="53"/>
    </row>
    <row r="428">
      <c r="F428" s="88"/>
      <c r="G428" s="53"/>
    </row>
    <row r="429">
      <c r="F429" s="88"/>
      <c r="G429" s="53"/>
    </row>
    <row r="430">
      <c r="F430" s="88"/>
      <c r="G430" s="53"/>
    </row>
    <row r="431">
      <c r="F431" s="88"/>
      <c r="G431" s="53"/>
    </row>
    <row r="432">
      <c r="F432" s="88"/>
      <c r="G432" s="53"/>
    </row>
    <row r="433">
      <c r="F433" s="88"/>
      <c r="G433" s="53"/>
    </row>
    <row r="434">
      <c r="F434" s="88"/>
      <c r="G434" s="53"/>
    </row>
    <row r="435">
      <c r="F435" s="88"/>
      <c r="G435" s="53"/>
    </row>
    <row r="436">
      <c r="F436" s="88"/>
      <c r="G436" s="53"/>
    </row>
    <row r="437">
      <c r="F437" s="88"/>
      <c r="G437" s="53"/>
    </row>
    <row r="438">
      <c r="F438" s="88"/>
      <c r="G438" s="53"/>
    </row>
    <row r="439">
      <c r="F439" s="88"/>
      <c r="G439" s="53"/>
    </row>
    <row r="440">
      <c r="F440" s="88"/>
      <c r="G440" s="53"/>
    </row>
    <row r="441">
      <c r="F441" s="88"/>
      <c r="G441" s="53"/>
    </row>
    <row r="442">
      <c r="F442" s="88"/>
      <c r="G442" s="53"/>
    </row>
    <row r="443">
      <c r="F443" s="88"/>
      <c r="G443" s="53"/>
    </row>
    <row r="444">
      <c r="F444" s="88"/>
      <c r="G444" s="53"/>
    </row>
    <row r="445">
      <c r="F445" s="88"/>
      <c r="G445" s="53"/>
    </row>
    <row r="446">
      <c r="F446" s="88"/>
      <c r="G446" s="53"/>
    </row>
    <row r="447">
      <c r="F447" s="88"/>
      <c r="G447" s="53"/>
    </row>
    <row r="448">
      <c r="F448" s="88"/>
      <c r="G448" s="53"/>
    </row>
    <row r="449">
      <c r="F449" s="88"/>
      <c r="G449" s="53"/>
    </row>
    <row r="450">
      <c r="F450" s="88"/>
      <c r="G450" s="53"/>
    </row>
    <row r="451">
      <c r="F451" s="88"/>
      <c r="G451" s="53"/>
    </row>
    <row r="452">
      <c r="F452" s="88"/>
      <c r="G452" s="53"/>
    </row>
    <row r="453">
      <c r="F453" s="88"/>
      <c r="G453" s="53"/>
    </row>
    <row r="454">
      <c r="F454" s="88"/>
      <c r="G454" s="53"/>
    </row>
    <row r="455">
      <c r="F455" s="88"/>
      <c r="G455" s="53"/>
    </row>
    <row r="456">
      <c r="F456" s="88"/>
      <c r="G456" s="53"/>
    </row>
    <row r="457">
      <c r="F457" s="88"/>
      <c r="G457" s="53"/>
    </row>
    <row r="458">
      <c r="F458" s="88"/>
      <c r="G458" s="53"/>
    </row>
    <row r="459">
      <c r="F459" s="88"/>
      <c r="G459" s="53"/>
    </row>
    <row r="460">
      <c r="F460" s="88"/>
      <c r="G460" s="53"/>
    </row>
    <row r="461">
      <c r="F461" s="88"/>
      <c r="G461" s="53"/>
    </row>
    <row r="462">
      <c r="F462" s="88"/>
      <c r="G462" s="53"/>
    </row>
    <row r="463">
      <c r="F463" s="88"/>
      <c r="G463" s="53"/>
    </row>
    <row r="464">
      <c r="F464" s="88"/>
      <c r="G464" s="53"/>
    </row>
    <row r="465">
      <c r="F465" s="88"/>
      <c r="G465" s="53"/>
    </row>
    <row r="466">
      <c r="F466" s="88"/>
      <c r="G466" s="53"/>
    </row>
    <row r="467">
      <c r="F467" s="88"/>
      <c r="G467" s="53"/>
    </row>
    <row r="468">
      <c r="F468" s="88"/>
      <c r="G468" s="53"/>
    </row>
    <row r="469">
      <c r="F469" s="88"/>
      <c r="G469" s="53"/>
    </row>
    <row r="470">
      <c r="F470" s="88"/>
      <c r="G470" s="53"/>
    </row>
    <row r="471">
      <c r="F471" s="88"/>
      <c r="G471" s="53"/>
    </row>
    <row r="472">
      <c r="F472" s="88"/>
      <c r="G472" s="53"/>
    </row>
    <row r="473">
      <c r="F473" s="88"/>
      <c r="G473" s="53"/>
    </row>
    <row r="474">
      <c r="F474" s="88"/>
      <c r="G474" s="53"/>
    </row>
    <row r="475">
      <c r="F475" s="88"/>
      <c r="G475" s="53"/>
    </row>
    <row r="476">
      <c r="F476" s="88"/>
      <c r="G476" s="53"/>
    </row>
    <row r="477">
      <c r="F477" s="88"/>
      <c r="G477" s="53"/>
    </row>
    <row r="478">
      <c r="F478" s="88"/>
      <c r="G478" s="53"/>
    </row>
    <row r="479">
      <c r="F479" s="88"/>
      <c r="G479" s="53"/>
    </row>
    <row r="480">
      <c r="F480" s="88"/>
      <c r="G480" s="53"/>
    </row>
    <row r="481">
      <c r="F481" s="88"/>
      <c r="G481" s="53"/>
    </row>
    <row r="482">
      <c r="F482" s="88"/>
      <c r="G482" s="53"/>
    </row>
    <row r="483">
      <c r="F483" s="88"/>
      <c r="G483" s="53"/>
    </row>
    <row r="484">
      <c r="F484" s="88"/>
      <c r="G484" s="53"/>
    </row>
    <row r="485">
      <c r="F485" s="88"/>
      <c r="G485" s="53"/>
    </row>
    <row r="486">
      <c r="F486" s="88"/>
      <c r="G486" s="53"/>
    </row>
    <row r="487">
      <c r="F487" s="88"/>
      <c r="G487" s="53"/>
    </row>
    <row r="488">
      <c r="F488" s="88"/>
      <c r="G488" s="53"/>
    </row>
    <row r="489">
      <c r="F489" s="88"/>
      <c r="G489" s="53"/>
    </row>
    <row r="490">
      <c r="F490" s="88"/>
      <c r="G490" s="53"/>
    </row>
    <row r="491">
      <c r="F491" s="88"/>
      <c r="G491" s="53"/>
    </row>
    <row r="492">
      <c r="F492" s="88"/>
      <c r="G492" s="53"/>
    </row>
    <row r="493">
      <c r="F493" s="88"/>
      <c r="G493" s="53"/>
    </row>
    <row r="494">
      <c r="F494" s="88"/>
      <c r="G494" s="53"/>
    </row>
    <row r="495">
      <c r="F495" s="88"/>
      <c r="G495" s="53"/>
    </row>
    <row r="496">
      <c r="F496" s="88"/>
      <c r="G496" s="53"/>
    </row>
    <row r="497">
      <c r="F497" s="88"/>
      <c r="G497" s="53"/>
    </row>
    <row r="498">
      <c r="F498" s="88"/>
      <c r="G498" s="53"/>
    </row>
    <row r="499">
      <c r="F499" s="88"/>
      <c r="G499" s="53"/>
    </row>
    <row r="500">
      <c r="F500" s="88"/>
      <c r="G500" s="53"/>
    </row>
    <row r="501">
      <c r="F501" s="88"/>
      <c r="G501" s="53"/>
    </row>
    <row r="502">
      <c r="F502" s="88"/>
      <c r="G502" s="53"/>
    </row>
    <row r="503">
      <c r="F503" s="88"/>
      <c r="G503" s="53"/>
    </row>
    <row r="504">
      <c r="F504" s="88"/>
      <c r="G504" s="53"/>
    </row>
    <row r="505">
      <c r="F505" s="88"/>
      <c r="G505" s="53"/>
    </row>
    <row r="506">
      <c r="F506" s="88"/>
      <c r="G506" s="53"/>
    </row>
    <row r="507">
      <c r="F507" s="88"/>
      <c r="G507" s="53"/>
    </row>
    <row r="508">
      <c r="F508" s="88"/>
      <c r="G508" s="53"/>
    </row>
    <row r="509">
      <c r="F509" s="88"/>
      <c r="G509" s="53"/>
    </row>
    <row r="510">
      <c r="F510" s="88"/>
      <c r="G510" s="53"/>
    </row>
    <row r="511">
      <c r="F511" s="88"/>
      <c r="G511" s="53"/>
    </row>
    <row r="512">
      <c r="F512" s="88"/>
      <c r="G512" s="53"/>
    </row>
    <row r="513">
      <c r="F513" s="88"/>
      <c r="G513" s="53"/>
    </row>
    <row r="514">
      <c r="F514" s="88"/>
      <c r="G514" s="53"/>
    </row>
    <row r="515">
      <c r="F515" s="88"/>
      <c r="G515" s="53"/>
    </row>
    <row r="516">
      <c r="F516" s="88"/>
      <c r="G516" s="53"/>
    </row>
    <row r="517">
      <c r="F517" s="88"/>
      <c r="G517" s="53"/>
    </row>
    <row r="518">
      <c r="F518" s="88"/>
      <c r="G518" s="53"/>
    </row>
    <row r="519">
      <c r="F519" s="88"/>
      <c r="G519" s="53"/>
    </row>
    <row r="520">
      <c r="F520" s="88"/>
      <c r="G520" s="53"/>
    </row>
    <row r="521">
      <c r="F521" s="88"/>
      <c r="G521" s="53"/>
    </row>
    <row r="522">
      <c r="F522" s="88"/>
      <c r="G522" s="53"/>
    </row>
    <row r="523">
      <c r="F523" s="88"/>
      <c r="G523" s="53"/>
    </row>
    <row r="524">
      <c r="F524" s="88"/>
      <c r="G524" s="53"/>
    </row>
    <row r="525">
      <c r="F525" s="88"/>
      <c r="G525" s="53"/>
    </row>
    <row r="526">
      <c r="F526" s="88"/>
      <c r="G526" s="53"/>
    </row>
    <row r="527">
      <c r="F527" s="88"/>
      <c r="G527" s="53"/>
    </row>
    <row r="528">
      <c r="F528" s="88"/>
      <c r="G528" s="53"/>
    </row>
    <row r="529">
      <c r="F529" s="88"/>
      <c r="G529" s="53"/>
    </row>
    <row r="530">
      <c r="F530" s="88"/>
      <c r="G530" s="53"/>
    </row>
    <row r="531">
      <c r="F531" s="88"/>
      <c r="G531" s="53"/>
    </row>
    <row r="532">
      <c r="F532" s="88"/>
      <c r="G532" s="53"/>
    </row>
    <row r="533">
      <c r="F533" s="88"/>
      <c r="G533" s="53"/>
    </row>
    <row r="534">
      <c r="F534" s="88"/>
      <c r="G534" s="53"/>
    </row>
    <row r="535">
      <c r="F535" s="88"/>
      <c r="G535" s="53"/>
    </row>
    <row r="536">
      <c r="F536" s="88"/>
      <c r="G536" s="53"/>
    </row>
    <row r="537">
      <c r="F537" s="88"/>
      <c r="G537" s="53"/>
    </row>
    <row r="538">
      <c r="F538" s="88"/>
      <c r="G538" s="53"/>
    </row>
    <row r="539">
      <c r="F539" s="88"/>
      <c r="G539" s="53"/>
    </row>
    <row r="540">
      <c r="F540" s="88"/>
      <c r="G540" s="53"/>
    </row>
    <row r="541">
      <c r="F541" s="88"/>
      <c r="G541" s="53"/>
    </row>
    <row r="542">
      <c r="F542" s="88"/>
      <c r="G542" s="53"/>
    </row>
    <row r="543">
      <c r="F543" s="88"/>
      <c r="G543" s="53"/>
    </row>
    <row r="544">
      <c r="F544" s="88"/>
      <c r="G544" s="53"/>
    </row>
    <row r="545">
      <c r="F545" s="88"/>
      <c r="G545" s="53"/>
    </row>
    <row r="546">
      <c r="F546" s="88"/>
      <c r="G546" s="53"/>
    </row>
    <row r="547">
      <c r="F547" s="88"/>
      <c r="G547" s="53"/>
    </row>
    <row r="548">
      <c r="F548" s="88"/>
      <c r="G548" s="53"/>
    </row>
    <row r="549">
      <c r="F549" s="88"/>
      <c r="G549" s="53"/>
    </row>
    <row r="550">
      <c r="F550" s="88"/>
      <c r="G550" s="53"/>
    </row>
    <row r="551">
      <c r="F551" s="88"/>
      <c r="G551" s="53"/>
    </row>
    <row r="552">
      <c r="F552" s="88"/>
      <c r="G552" s="53"/>
    </row>
    <row r="553">
      <c r="F553" s="88"/>
      <c r="G553" s="53"/>
    </row>
    <row r="554">
      <c r="F554" s="88"/>
      <c r="G554" s="53"/>
    </row>
    <row r="555">
      <c r="F555" s="88"/>
      <c r="G555" s="53"/>
    </row>
    <row r="556">
      <c r="F556" s="88"/>
      <c r="G556" s="53"/>
    </row>
    <row r="557">
      <c r="F557" s="88"/>
      <c r="G557" s="53"/>
    </row>
    <row r="558">
      <c r="F558" s="88"/>
      <c r="G558" s="53"/>
    </row>
    <row r="559">
      <c r="F559" s="88"/>
      <c r="G559" s="53"/>
    </row>
    <row r="560">
      <c r="F560" s="88"/>
      <c r="G560" s="53"/>
    </row>
    <row r="561">
      <c r="F561" s="88"/>
      <c r="G561" s="53"/>
    </row>
    <row r="562">
      <c r="F562" s="88"/>
      <c r="G562" s="53"/>
    </row>
    <row r="563">
      <c r="F563" s="88"/>
      <c r="G563" s="53"/>
    </row>
    <row r="564">
      <c r="F564" s="88"/>
      <c r="G564" s="53"/>
    </row>
    <row r="565">
      <c r="F565" s="88"/>
      <c r="G565" s="53"/>
    </row>
    <row r="566">
      <c r="F566" s="88"/>
      <c r="G566" s="53"/>
    </row>
    <row r="567">
      <c r="F567" s="88"/>
      <c r="G567" s="53"/>
    </row>
    <row r="568">
      <c r="F568" s="88"/>
      <c r="G568" s="53"/>
    </row>
    <row r="569">
      <c r="F569" s="88"/>
      <c r="G569" s="53"/>
    </row>
    <row r="570">
      <c r="F570" s="88"/>
      <c r="G570" s="53"/>
    </row>
    <row r="571">
      <c r="F571" s="88"/>
      <c r="G571" s="53"/>
    </row>
    <row r="572">
      <c r="F572" s="88"/>
      <c r="G572" s="53"/>
    </row>
    <row r="573">
      <c r="F573" s="88"/>
      <c r="G573" s="53"/>
    </row>
    <row r="574">
      <c r="F574" s="88"/>
      <c r="G574" s="53"/>
    </row>
    <row r="575">
      <c r="F575" s="88"/>
      <c r="G575" s="53"/>
    </row>
    <row r="576">
      <c r="F576" s="88"/>
      <c r="G576" s="53"/>
    </row>
    <row r="577">
      <c r="F577" s="88"/>
      <c r="G577" s="53"/>
    </row>
    <row r="578">
      <c r="F578" s="88"/>
      <c r="G578" s="53"/>
    </row>
    <row r="579">
      <c r="F579" s="88"/>
      <c r="G579" s="53"/>
    </row>
    <row r="580">
      <c r="F580" s="88"/>
      <c r="G580" s="53"/>
    </row>
    <row r="581">
      <c r="F581" s="88"/>
      <c r="G581" s="53"/>
    </row>
    <row r="582">
      <c r="F582" s="88"/>
      <c r="G582" s="53"/>
    </row>
    <row r="583">
      <c r="F583" s="88"/>
      <c r="G583" s="53"/>
    </row>
    <row r="584">
      <c r="F584" s="88"/>
      <c r="G584" s="53"/>
    </row>
    <row r="585">
      <c r="F585" s="88"/>
      <c r="G585" s="53"/>
    </row>
    <row r="586">
      <c r="F586" s="88"/>
      <c r="G586" s="53"/>
    </row>
    <row r="587">
      <c r="F587" s="88"/>
      <c r="G587" s="53"/>
    </row>
    <row r="588">
      <c r="F588" s="88"/>
      <c r="G588" s="53"/>
    </row>
    <row r="589">
      <c r="F589" s="88"/>
      <c r="G589" s="53"/>
    </row>
    <row r="590">
      <c r="F590" s="88"/>
      <c r="G590" s="53"/>
    </row>
    <row r="591">
      <c r="F591" s="88"/>
      <c r="G591" s="53"/>
    </row>
    <row r="592">
      <c r="F592" s="88"/>
      <c r="G592" s="53"/>
    </row>
    <row r="593">
      <c r="F593" s="88"/>
      <c r="G593" s="53"/>
    </row>
    <row r="594">
      <c r="F594" s="88"/>
      <c r="G594" s="53"/>
    </row>
    <row r="595">
      <c r="F595" s="88"/>
      <c r="G595" s="53"/>
    </row>
    <row r="596">
      <c r="F596" s="88"/>
      <c r="G596" s="53"/>
    </row>
    <row r="597">
      <c r="F597" s="88"/>
      <c r="G597" s="53"/>
    </row>
    <row r="598">
      <c r="F598" s="88"/>
      <c r="G598" s="53"/>
    </row>
    <row r="599">
      <c r="F599" s="88"/>
      <c r="G599" s="53"/>
    </row>
    <row r="600">
      <c r="F600" s="88"/>
      <c r="G600" s="53"/>
    </row>
    <row r="601">
      <c r="F601" s="88"/>
      <c r="G601" s="53"/>
    </row>
    <row r="602">
      <c r="F602" s="88"/>
      <c r="G602" s="53"/>
    </row>
    <row r="603">
      <c r="F603" s="88"/>
      <c r="G603" s="53"/>
    </row>
    <row r="604">
      <c r="F604" s="88"/>
      <c r="G604" s="53"/>
    </row>
    <row r="605">
      <c r="F605" s="88"/>
      <c r="G605" s="53"/>
    </row>
    <row r="606">
      <c r="F606" s="88"/>
      <c r="G606" s="53"/>
    </row>
    <row r="607">
      <c r="F607" s="88"/>
      <c r="G607" s="53"/>
    </row>
    <row r="608">
      <c r="F608" s="88"/>
      <c r="G608" s="53"/>
    </row>
    <row r="609">
      <c r="F609" s="88"/>
      <c r="G609" s="53"/>
    </row>
    <row r="610">
      <c r="F610" s="88"/>
      <c r="G610" s="53"/>
    </row>
    <row r="611">
      <c r="F611" s="88"/>
      <c r="G611" s="53"/>
    </row>
    <row r="612">
      <c r="F612" s="88"/>
      <c r="G612" s="53"/>
    </row>
    <row r="613">
      <c r="F613" s="88"/>
      <c r="G613" s="53"/>
    </row>
    <row r="614">
      <c r="F614" s="88"/>
      <c r="G614" s="53"/>
    </row>
    <row r="615">
      <c r="F615" s="88"/>
      <c r="G615" s="53"/>
    </row>
    <row r="616">
      <c r="F616" s="88"/>
      <c r="G616" s="53"/>
    </row>
    <row r="617">
      <c r="F617" s="88"/>
      <c r="G617" s="53"/>
    </row>
    <row r="618">
      <c r="F618" s="88"/>
      <c r="G618" s="53"/>
    </row>
    <row r="619">
      <c r="F619" s="88"/>
      <c r="G619" s="53"/>
    </row>
    <row r="620">
      <c r="F620" s="88"/>
      <c r="G620" s="53"/>
    </row>
    <row r="621">
      <c r="F621" s="88"/>
      <c r="G621" s="53"/>
    </row>
    <row r="622">
      <c r="F622" s="88"/>
      <c r="G622" s="53"/>
    </row>
    <row r="623">
      <c r="F623" s="88"/>
      <c r="G623" s="53"/>
    </row>
    <row r="624">
      <c r="F624" s="88"/>
      <c r="G624" s="53"/>
    </row>
    <row r="625">
      <c r="F625" s="88"/>
      <c r="G625" s="53"/>
    </row>
    <row r="626">
      <c r="F626" s="88"/>
      <c r="G626" s="53"/>
    </row>
    <row r="627">
      <c r="F627" s="88"/>
      <c r="G627" s="53"/>
    </row>
    <row r="628">
      <c r="F628" s="88"/>
      <c r="G628" s="53"/>
    </row>
    <row r="629">
      <c r="F629" s="88"/>
      <c r="G629" s="53"/>
    </row>
    <row r="630">
      <c r="F630" s="88"/>
      <c r="G630" s="53"/>
    </row>
    <row r="631">
      <c r="F631" s="88"/>
      <c r="G631" s="53"/>
    </row>
    <row r="632">
      <c r="F632" s="88"/>
      <c r="G632" s="53"/>
    </row>
    <row r="633">
      <c r="F633" s="88"/>
      <c r="G633" s="53"/>
    </row>
    <row r="634">
      <c r="F634" s="88"/>
      <c r="G634" s="53"/>
    </row>
    <row r="635">
      <c r="F635" s="88"/>
      <c r="G635" s="53"/>
    </row>
    <row r="636">
      <c r="F636" s="88"/>
      <c r="G636" s="53"/>
    </row>
    <row r="637">
      <c r="F637" s="88"/>
      <c r="G637" s="53"/>
    </row>
    <row r="638">
      <c r="F638" s="88"/>
      <c r="G638" s="53"/>
    </row>
    <row r="639">
      <c r="F639" s="88"/>
      <c r="G639" s="53"/>
    </row>
    <row r="640">
      <c r="F640" s="88"/>
      <c r="G640" s="53"/>
    </row>
    <row r="641">
      <c r="F641" s="88"/>
      <c r="G641" s="53"/>
    </row>
    <row r="642">
      <c r="F642" s="88"/>
      <c r="G642" s="53"/>
    </row>
    <row r="643">
      <c r="F643" s="88"/>
      <c r="G643" s="53"/>
    </row>
    <row r="644">
      <c r="F644" s="88"/>
      <c r="G644" s="53"/>
    </row>
    <row r="645">
      <c r="F645" s="88"/>
      <c r="G645" s="53"/>
    </row>
    <row r="646">
      <c r="F646" s="88"/>
      <c r="G646" s="53"/>
    </row>
    <row r="647">
      <c r="F647" s="88"/>
      <c r="G647" s="53"/>
    </row>
    <row r="648">
      <c r="F648" s="88"/>
      <c r="G648" s="53"/>
    </row>
    <row r="649">
      <c r="F649" s="88"/>
      <c r="G649" s="53"/>
    </row>
    <row r="650">
      <c r="F650" s="88"/>
      <c r="G650" s="53"/>
    </row>
    <row r="651">
      <c r="F651" s="88"/>
      <c r="G651" s="53"/>
    </row>
    <row r="652">
      <c r="F652" s="88"/>
      <c r="G652" s="53"/>
    </row>
    <row r="653">
      <c r="F653" s="88"/>
      <c r="G653" s="53"/>
    </row>
    <row r="654">
      <c r="F654" s="88"/>
      <c r="G654" s="53"/>
    </row>
    <row r="655">
      <c r="F655" s="88"/>
      <c r="G655" s="53"/>
    </row>
    <row r="656">
      <c r="F656" s="88"/>
      <c r="G656" s="53"/>
    </row>
    <row r="657">
      <c r="F657" s="88"/>
      <c r="G657" s="53"/>
    </row>
    <row r="658">
      <c r="F658" s="88"/>
      <c r="G658" s="53"/>
    </row>
    <row r="659">
      <c r="F659" s="88"/>
      <c r="G659" s="53"/>
    </row>
    <row r="660">
      <c r="F660" s="88"/>
      <c r="G660" s="53"/>
    </row>
    <row r="661">
      <c r="F661" s="88"/>
      <c r="G661" s="53"/>
    </row>
    <row r="662">
      <c r="F662" s="88"/>
      <c r="G662" s="53"/>
    </row>
    <row r="663">
      <c r="F663" s="88"/>
      <c r="G663" s="53"/>
    </row>
    <row r="664">
      <c r="F664" s="88"/>
      <c r="G664" s="53"/>
    </row>
    <row r="665">
      <c r="F665" s="88"/>
      <c r="G665" s="53"/>
    </row>
    <row r="666">
      <c r="F666" s="88"/>
      <c r="G666" s="53"/>
    </row>
    <row r="667">
      <c r="F667" s="88"/>
      <c r="G667" s="53"/>
    </row>
    <row r="668">
      <c r="F668" s="88"/>
      <c r="G668" s="53"/>
    </row>
    <row r="669">
      <c r="F669" s="88"/>
      <c r="G669" s="53"/>
    </row>
    <row r="670">
      <c r="F670" s="88"/>
      <c r="G670" s="53"/>
    </row>
    <row r="671">
      <c r="F671" s="88"/>
      <c r="G671" s="53"/>
    </row>
    <row r="672">
      <c r="F672" s="88"/>
      <c r="G672" s="53"/>
    </row>
    <row r="673">
      <c r="F673" s="88"/>
      <c r="G673" s="53"/>
    </row>
    <row r="674">
      <c r="F674" s="88"/>
      <c r="G674" s="53"/>
    </row>
    <row r="675">
      <c r="F675" s="88"/>
      <c r="G675" s="53"/>
    </row>
    <row r="676">
      <c r="F676" s="88"/>
      <c r="G676" s="53"/>
    </row>
    <row r="677">
      <c r="F677" s="88"/>
      <c r="G677" s="53"/>
    </row>
    <row r="678">
      <c r="F678" s="88"/>
      <c r="G678" s="53"/>
    </row>
    <row r="679">
      <c r="F679" s="88"/>
      <c r="G679" s="53"/>
    </row>
    <row r="680">
      <c r="F680" s="88"/>
      <c r="G680" s="53"/>
    </row>
    <row r="681">
      <c r="F681" s="88"/>
      <c r="G681" s="53"/>
    </row>
    <row r="682">
      <c r="F682" s="88"/>
      <c r="G682" s="53"/>
    </row>
    <row r="683">
      <c r="F683" s="88"/>
      <c r="G683" s="53"/>
    </row>
    <row r="684">
      <c r="F684" s="88"/>
      <c r="G684" s="53"/>
    </row>
    <row r="685">
      <c r="F685" s="88"/>
      <c r="G685" s="53"/>
    </row>
    <row r="686">
      <c r="F686" s="88"/>
      <c r="G686" s="53"/>
    </row>
    <row r="687">
      <c r="F687" s="88"/>
      <c r="G687" s="53"/>
    </row>
    <row r="688">
      <c r="F688" s="88"/>
      <c r="G688" s="53"/>
    </row>
    <row r="689">
      <c r="F689" s="88"/>
      <c r="G689" s="53"/>
    </row>
    <row r="690">
      <c r="F690" s="88"/>
      <c r="G690" s="53"/>
    </row>
    <row r="691">
      <c r="F691" s="88"/>
      <c r="G691" s="53"/>
    </row>
    <row r="692">
      <c r="F692" s="88"/>
      <c r="G692" s="53"/>
    </row>
    <row r="693">
      <c r="F693" s="88"/>
      <c r="G693" s="53"/>
    </row>
    <row r="694">
      <c r="F694" s="88"/>
      <c r="G694" s="53"/>
    </row>
    <row r="695">
      <c r="F695" s="88"/>
      <c r="G695" s="53"/>
    </row>
    <row r="696">
      <c r="F696" s="88"/>
      <c r="G696" s="53"/>
    </row>
    <row r="697">
      <c r="F697" s="88"/>
      <c r="G697" s="53"/>
    </row>
    <row r="698">
      <c r="F698" s="88"/>
      <c r="G698" s="53"/>
    </row>
    <row r="699">
      <c r="F699" s="88"/>
      <c r="G699" s="53"/>
    </row>
    <row r="700">
      <c r="F700" s="88"/>
      <c r="G700" s="53"/>
    </row>
    <row r="701">
      <c r="F701" s="88"/>
      <c r="G701" s="53"/>
    </row>
    <row r="702">
      <c r="F702" s="88"/>
      <c r="G702" s="53"/>
    </row>
    <row r="703">
      <c r="F703" s="88"/>
      <c r="G703" s="53"/>
    </row>
    <row r="704">
      <c r="F704" s="88"/>
      <c r="G704" s="53"/>
    </row>
    <row r="705">
      <c r="F705" s="88"/>
      <c r="G705" s="53"/>
    </row>
    <row r="706">
      <c r="F706" s="88"/>
      <c r="G706" s="53"/>
    </row>
    <row r="707">
      <c r="F707" s="88"/>
      <c r="G707" s="53"/>
    </row>
    <row r="708">
      <c r="F708" s="88"/>
      <c r="G708" s="53"/>
    </row>
    <row r="709">
      <c r="F709" s="88"/>
      <c r="G709" s="53"/>
    </row>
    <row r="710">
      <c r="F710" s="88"/>
      <c r="G710" s="53"/>
    </row>
    <row r="711">
      <c r="F711" s="88"/>
      <c r="G711" s="53"/>
    </row>
    <row r="712">
      <c r="F712" s="88"/>
      <c r="G712" s="53"/>
    </row>
    <row r="713">
      <c r="F713" s="88"/>
      <c r="G713" s="53"/>
    </row>
    <row r="714">
      <c r="F714" s="88"/>
      <c r="G714" s="53"/>
    </row>
    <row r="715">
      <c r="F715" s="88"/>
      <c r="G715" s="53"/>
    </row>
    <row r="716">
      <c r="F716" s="88"/>
      <c r="G716" s="53"/>
    </row>
    <row r="717">
      <c r="F717" s="88"/>
      <c r="G717" s="53"/>
    </row>
    <row r="718">
      <c r="F718" s="88"/>
      <c r="G718" s="53"/>
    </row>
    <row r="719">
      <c r="F719" s="88"/>
      <c r="G719" s="53"/>
    </row>
    <row r="720">
      <c r="F720" s="88"/>
      <c r="G720" s="53"/>
    </row>
    <row r="721">
      <c r="F721" s="88"/>
      <c r="G721" s="53"/>
    </row>
    <row r="722">
      <c r="F722" s="88"/>
      <c r="G722" s="53"/>
    </row>
    <row r="723">
      <c r="F723" s="88"/>
      <c r="G723" s="53"/>
    </row>
    <row r="724">
      <c r="F724" s="88"/>
      <c r="G724" s="53"/>
    </row>
    <row r="725">
      <c r="F725" s="88"/>
      <c r="G725" s="53"/>
    </row>
    <row r="726">
      <c r="F726" s="88"/>
      <c r="G726" s="53"/>
    </row>
    <row r="727">
      <c r="F727" s="88"/>
      <c r="G727" s="53"/>
    </row>
    <row r="728">
      <c r="F728" s="88"/>
      <c r="G728" s="53"/>
    </row>
    <row r="729">
      <c r="F729" s="88"/>
      <c r="G729" s="53"/>
    </row>
    <row r="730">
      <c r="F730" s="88"/>
      <c r="G730" s="53"/>
    </row>
    <row r="731">
      <c r="F731" s="88"/>
      <c r="G731" s="53"/>
    </row>
    <row r="732">
      <c r="F732" s="88"/>
      <c r="G732" s="53"/>
    </row>
    <row r="733">
      <c r="F733" s="88"/>
      <c r="G733" s="53"/>
    </row>
    <row r="734">
      <c r="F734" s="88"/>
      <c r="G734" s="53"/>
    </row>
    <row r="735">
      <c r="F735" s="88"/>
      <c r="G735" s="53"/>
    </row>
    <row r="736">
      <c r="F736" s="88"/>
      <c r="G736" s="53"/>
    </row>
    <row r="737">
      <c r="F737" s="88"/>
      <c r="G737" s="53"/>
    </row>
    <row r="738">
      <c r="F738" s="88"/>
      <c r="G738" s="53"/>
    </row>
    <row r="739">
      <c r="F739" s="88"/>
      <c r="G739" s="53"/>
    </row>
    <row r="740">
      <c r="F740" s="88"/>
      <c r="G740" s="53"/>
    </row>
    <row r="741">
      <c r="F741" s="88"/>
      <c r="G741" s="53"/>
    </row>
    <row r="742">
      <c r="F742" s="88"/>
      <c r="G742" s="53"/>
    </row>
    <row r="743">
      <c r="F743" s="88"/>
      <c r="G743" s="53"/>
    </row>
    <row r="744">
      <c r="F744" s="88"/>
      <c r="G744" s="53"/>
    </row>
    <row r="745">
      <c r="F745" s="88"/>
      <c r="G745" s="53"/>
    </row>
    <row r="746">
      <c r="F746" s="88"/>
      <c r="G746" s="53"/>
    </row>
    <row r="747">
      <c r="F747" s="88"/>
      <c r="G747" s="53"/>
    </row>
    <row r="748">
      <c r="F748" s="88"/>
      <c r="G748" s="53"/>
    </row>
    <row r="749">
      <c r="F749" s="88"/>
      <c r="G749" s="53"/>
    </row>
    <row r="750">
      <c r="F750" s="88"/>
      <c r="G750" s="53"/>
    </row>
    <row r="751">
      <c r="F751" s="88"/>
      <c r="G751" s="53"/>
    </row>
    <row r="752">
      <c r="F752" s="88"/>
      <c r="G752" s="53"/>
    </row>
    <row r="753">
      <c r="F753" s="88"/>
      <c r="G753" s="53"/>
    </row>
    <row r="754">
      <c r="F754" s="88"/>
      <c r="G754" s="53"/>
    </row>
    <row r="755">
      <c r="F755" s="88"/>
      <c r="G755" s="53"/>
    </row>
    <row r="756">
      <c r="F756" s="88"/>
      <c r="G756" s="53"/>
    </row>
    <row r="757">
      <c r="F757" s="88"/>
      <c r="G757" s="53"/>
    </row>
    <row r="758">
      <c r="F758" s="88"/>
      <c r="G758" s="53"/>
    </row>
    <row r="759">
      <c r="F759" s="88"/>
      <c r="G759" s="53"/>
    </row>
    <row r="760">
      <c r="F760" s="88"/>
      <c r="G760" s="53"/>
    </row>
    <row r="761">
      <c r="F761" s="88"/>
      <c r="G761" s="53"/>
    </row>
    <row r="762">
      <c r="F762" s="88"/>
      <c r="G762" s="53"/>
    </row>
    <row r="763">
      <c r="F763" s="88"/>
      <c r="G763" s="53"/>
    </row>
    <row r="764">
      <c r="F764" s="88"/>
      <c r="G764" s="53"/>
    </row>
    <row r="765">
      <c r="F765" s="88"/>
      <c r="G765" s="53"/>
    </row>
    <row r="766">
      <c r="F766" s="88"/>
      <c r="G766" s="53"/>
    </row>
    <row r="767">
      <c r="F767" s="88"/>
      <c r="G767" s="53"/>
    </row>
    <row r="768">
      <c r="F768" s="88"/>
      <c r="G768" s="53"/>
    </row>
    <row r="769">
      <c r="F769" s="88"/>
      <c r="G769" s="53"/>
    </row>
    <row r="770">
      <c r="F770" s="88"/>
      <c r="G770" s="53"/>
    </row>
    <row r="771">
      <c r="F771" s="88"/>
      <c r="G771" s="53"/>
    </row>
    <row r="772">
      <c r="F772" s="88"/>
      <c r="G772" s="53"/>
    </row>
    <row r="773">
      <c r="F773" s="88"/>
      <c r="G773" s="53"/>
    </row>
    <row r="774">
      <c r="F774" s="88"/>
      <c r="G774" s="53"/>
    </row>
    <row r="775">
      <c r="F775" s="88"/>
      <c r="G775" s="53"/>
    </row>
    <row r="776">
      <c r="F776" s="88"/>
      <c r="G776" s="53"/>
    </row>
    <row r="777">
      <c r="F777" s="88"/>
      <c r="G777" s="53"/>
    </row>
    <row r="778">
      <c r="F778" s="88"/>
      <c r="G778" s="53"/>
    </row>
    <row r="779">
      <c r="F779" s="88"/>
      <c r="G779" s="53"/>
    </row>
    <row r="780">
      <c r="F780" s="88"/>
      <c r="G780" s="53"/>
    </row>
    <row r="781">
      <c r="F781" s="88"/>
      <c r="G781" s="53"/>
    </row>
    <row r="782">
      <c r="F782" s="88"/>
      <c r="G782" s="53"/>
    </row>
    <row r="783">
      <c r="F783" s="88"/>
      <c r="G783" s="53"/>
    </row>
    <row r="784">
      <c r="F784" s="88"/>
      <c r="G784" s="53"/>
    </row>
    <row r="785">
      <c r="F785" s="88"/>
      <c r="G785" s="53"/>
    </row>
    <row r="786">
      <c r="F786" s="88"/>
      <c r="G786" s="53"/>
    </row>
    <row r="787">
      <c r="F787" s="88"/>
      <c r="G787" s="53"/>
    </row>
    <row r="788">
      <c r="F788" s="88"/>
      <c r="G788" s="53"/>
    </row>
    <row r="789">
      <c r="F789" s="88"/>
      <c r="G789" s="53"/>
    </row>
    <row r="790">
      <c r="F790" s="88"/>
      <c r="G790" s="53"/>
    </row>
    <row r="791">
      <c r="F791" s="88"/>
      <c r="G791" s="53"/>
    </row>
    <row r="792">
      <c r="F792" s="88"/>
      <c r="G792" s="53"/>
    </row>
    <row r="793">
      <c r="F793" s="88"/>
      <c r="G793" s="53"/>
    </row>
    <row r="794">
      <c r="F794" s="88"/>
      <c r="G794" s="53"/>
    </row>
    <row r="795">
      <c r="F795" s="88"/>
      <c r="G795" s="53"/>
    </row>
    <row r="796">
      <c r="F796" s="88"/>
      <c r="G796" s="53"/>
    </row>
    <row r="797">
      <c r="F797" s="88"/>
      <c r="G797" s="53"/>
    </row>
    <row r="798">
      <c r="F798" s="88"/>
      <c r="G798" s="53"/>
    </row>
    <row r="799">
      <c r="F799" s="88"/>
      <c r="G799" s="53"/>
    </row>
    <row r="800">
      <c r="F800" s="88"/>
      <c r="G800" s="53"/>
    </row>
    <row r="801">
      <c r="F801" s="88"/>
      <c r="G801" s="53"/>
    </row>
    <row r="802">
      <c r="F802" s="88"/>
      <c r="G802" s="53"/>
    </row>
    <row r="803">
      <c r="F803" s="88"/>
      <c r="G803" s="53"/>
    </row>
    <row r="804">
      <c r="F804" s="88"/>
      <c r="G804" s="53"/>
    </row>
    <row r="805">
      <c r="F805" s="88"/>
      <c r="G805" s="53"/>
    </row>
    <row r="806">
      <c r="F806" s="88"/>
      <c r="G806" s="53"/>
    </row>
    <row r="807">
      <c r="F807" s="88"/>
      <c r="G807" s="53"/>
    </row>
    <row r="808">
      <c r="F808" s="88"/>
      <c r="G808" s="53"/>
    </row>
    <row r="809">
      <c r="F809" s="88"/>
      <c r="G809" s="53"/>
    </row>
    <row r="810">
      <c r="F810" s="88"/>
      <c r="G810" s="53"/>
    </row>
    <row r="811">
      <c r="F811" s="88"/>
      <c r="G811" s="53"/>
    </row>
    <row r="812">
      <c r="F812" s="88"/>
      <c r="G812" s="53"/>
    </row>
    <row r="813">
      <c r="F813" s="88"/>
      <c r="G813" s="53"/>
    </row>
    <row r="814">
      <c r="F814" s="88"/>
      <c r="G814" s="53"/>
    </row>
    <row r="815">
      <c r="F815" s="88"/>
      <c r="G815" s="53"/>
    </row>
    <row r="816">
      <c r="F816" s="88"/>
      <c r="G816" s="53"/>
    </row>
    <row r="817">
      <c r="F817" s="88"/>
      <c r="G817" s="53"/>
    </row>
    <row r="818">
      <c r="F818" s="88"/>
      <c r="G818" s="53"/>
    </row>
    <row r="819">
      <c r="F819" s="88"/>
      <c r="G819" s="53"/>
    </row>
    <row r="820">
      <c r="F820" s="88"/>
      <c r="G820" s="53"/>
    </row>
    <row r="821">
      <c r="F821" s="88"/>
      <c r="G821" s="53"/>
    </row>
    <row r="822">
      <c r="F822" s="88"/>
      <c r="G822" s="53"/>
    </row>
    <row r="823">
      <c r="F823" s="88"/>
      <c r="G823" s="53"/>
    </row>
    <row r="824">
      <c r="F824" s="88"/>
      <c r="G824" s="53"/>
    </row>
    <row r="825">
      <c r="F825" s="88"/>
      <c r="G825" s="53"/>
    </row>
    <row r="826">
      <c r="F826" s="88"/>
      <c r="G826" s="53"/>
    </row>
    <row r="827">
      <c r="F827" s="88"/>
      <c r="G827" s="53"/>
    </row>
    <row r="828">
      <c r="F828" s="88"/>
      <c r="G828" s="53"/>
    </row>
    <row r="829">
      <c r="F829" s="88"/>
      <c r="G829" s="53"/>
    </row>
    <row r="830">
      <c r="F830" s="88"/>
      <c r="G830" s="53"/>
    </row>
    <row r="831">
      <c r="F831" s="88"/>
      <c r="G831" s="53"/>
    </row>
    <row r="832">
      <c r="F832" s="88"/>
      <c r="G832" s="53"/>
    </row>
    <row r="833">
      <c r="F833" s="88"/>
      <c r="G833" s="53"/>
    </row>
    <row r="834">
      <c r="F834" s="88"/>
      <c r="G834" s="53"/>
    </row>
    <row r="835">
      <c r="F835" s="88"/>
      <c r="G835" s="53"/>
    </row>
    <row r="836">
      <c r="F836" s="88"/>
      <c r="G836" s="53"/>
    </row>
    <row r="837">
      <c r="F837" s="88"/>
      <c r="G837" s="53"/>
    </row>
    <row r="838">
      <c r="F838" s="88"/>
      <c r="G838" s="53"/>
    </row>
    <row r="839">
      <c r="F839" s="88"/>
      <c r="G839" s="53"/>
    </row>
    <row r="840">
      <c r="F840" s="88"/>
      <c r="G840" s="53"/>
    </row>
    <row r="841">
      <c r="F841" s="88"/>
      <c r="G841" s="53"/>
    </row>
    <row r="842">
      <c r="F842" s="88"/>
      <c r="G842" s="53"/>
    </row>
    <row r="843">
      <c r="F843" s="88"/>
      <c r="G843" s="53"/>
    </row>
    <row r="844">
      <c r="F844" s="88"/>
      <c r="G844" s="53"/>
    </row>
    <row r="845">
      <c r="F845" s="88"/>
      <c r="G845" s="53"/>
    </row>
    <row r="846">
      <c r="F846" s="88"/>
      <c r="G846" s="53"/>
    </row>
    <row r="847">
      <c r="F847" s="88"/>
      <c r="G847" s="53"/>
    </row>
    <row r="848">
      <c r="F848" s="88"/>
      <c r="G848" s="53"/>
    </row>
    <row r="849">
      <c r="F849" s="88"/>
      <c r="G849" s="53"/>
    </row>
    <row r="850">
      <c r="F850" s="88"/>
      <c r="G850" s="53"/>
    </row>
    <row r="851">
      <c r="F851" s="88"/>
      <c r="G851" s="53"/>
    </row>
    <row r="852">
      <c r="F852" s="88"/>
      <c r="G852" s="53"/>
    </row>
    <row r="853">
      <c r="F853" s="88"/>
      <c r="G853" s="53"/>
    </row>
    <row r="854">
      <c r="F854" s="88"/>
      <c r="G854" s="53"/>
    </row>
    <row r="855">
      <c r="F855" s="88"/>
      <c r="G855" s="53"/>
    </row>
    <row r="856">
      <c r="F856" s="88"/>
      <c r="G856" s="53"/>
    </row>
    <row r="857">
      <c r="F857" s="88"/>
      <c r="G857" s="53"/>
    </row>
    <row r="858">
      <c r="F858" s="88"/>
      <c r="G858" s="53"/>
    </row>
    <row r="859">
      <c r="F859" s="88"/>
      <c r="G859" s="53"/>
    </row>
    <row r="860">
      <c r="F860" s="88"/>
      <c r="G860" s="53"/>
    </row>
    <row r="861">
      <c r="F861" s="88"/>
      <c r="G861" s="53"/>
    </row>
    <row r="862">
      <c r="F862" s="88"/>
      <c r="G862" s="53"/>
    </row>
    <row r="863">
      <c r="F863" s="88"/>
      <c r="G863" s="53"/>
    </row>
    <row r="864">
      <c r="F864" s="88"/>
      <c r="G864" s="53"/>
    </row>
    <row r="865">
      <c r="F865" s="88"/>
      <c r="G865" s="53"/>
    </row>
    <row r="866">
      <c r="F866" s="88"/>
      <c r="G866" s="53"/>
    </row>
    <row r="867">
      <c r="F867" s="88"/>
      <c r="G867" s="53"/>
    </row>
    <row r="868">
      <c r="F868" s="88"/>
      <c r="G868" s="53"/>
    </row>
    <row r="869">
      <c r="F869" s="88"/>
      <c r="G869" s="53"/>
    </row>
    <row r="870">
      <c r="F870" s="88"/>
      <c r="G870" s="53"/>
    </row>
    <row r="871">
      <c r="F871" s="88"/>
      <c r="G871" s="53"/>
    </row>
    <row r="872">
      <c r="F872" s="88"/>
      <c r="G872" s="53"/>
    </row>
    <row r="873">
      <c r="F873" s="88"/>
      <c r="G873" s="53"/>
    </row>
    <row r="874">
      <c r="F874" s="88"/>
      <c r="G874" s="53"/>
    </row>
    <row r="875">
      <c r="F875" s="88"/>
      <c r="G875" s="53"/>
    </row>
    <row r="876">
      <c r="F876" s="88"/>
      <c r="G876" s="53"/>
    </row>
    <row r="877">
      <c r="F877" s="88"/>
      <c r="G877" s="53"/>
    </row>
    <row r="878">
      <c r="F878" s="88"/>
      <c r="G878" s="53"/>
    </row>
    <row r="879">
      <c r="F879" s="88"/>
      <c r="G879" s="53"/>
    </row>
    <row r="880">
      <c r="F880" s="88"/>
      <c r="G880" s="53"/>
    </row>
    <row r="881">
      <c r="F881" s="88"/>
      <c r="G881" s="53"/>
    </row>
    <row r="882">
      <c r="F882" s="88"/>
      <c r="G882" s="53"/>
    </row>
    <row r="883">
      <c r="F883" s="88"/>
      <c r="G883" s="53"/>
    </row>
    <row r="884">
      <c r="F884" s="88"/>
      <c r="G884" s="53"/>
    </row>
    <row r="885">
      <c r="F885" s="88"/>
      <c r="G885" s="53"/>
    </row>
    <row r="886">
      <c r="F886" s="88"/>
      <c r="G886" s="53"/>
    </row>
    <row r="887">
      <c r="F887" s="88"/>
      <c r="G887" s="53"/>
    </row>
    <row r="888">
      <c r="F888" s="88"/>
      <c r="G888" s="53"/>
    </row>
    <row r="889">
      <c r="F889" s="88"/>
      <c r="G889" s="53"/>
    </row>
    <row r="890">
      <c r="F890" s="88"/>
      <c r="G890" s="53"/>
    </row>
    <row r="891">
      <c r="F891" s="88"/>
      <c r="G891" s="53"/>
    </row>
    <row r="892">
      <c r="F892" s="88"/>
      <c r="G892" s="53"/>
    </row>
    <row r="893">
      <c r="F893" s="88"/>
      <c r="G893" s="53"/>
    </row>
    <row r="894">
      <c r="F894" s="88"/>
      <c r="G894" s="53"/>
    </row>
    <row r="895">
      <c r="F895" s="88"/>
      <c r="G895" s="53"/>
    </row>
    <row r="896">
      <c r="F896" s="88"/>
      <c r="G896" s="53"/>
    </row>
    <row r="897">
      <c r="F897" s="88"/>
      <c r="G897" s="53"/>
    </row>
    <row r="898">
      <c r="F898" s="88"/>
      <c r="G898" s="53"/>
    </row>
    <row r="899">
      <c r="F899" s="88"/>
      <c r="G899" s="53"/>
    </row>
    <row r="900">
      <c r="F900" s="88"/>
      <c r="G900" s="53"/>
    </row>
    <row r="901">
      <c r="F901" s="88"/>
      <c r="G901" s="53"/>
    </row>
    <row r="902">
      <c r="F902" s="88"/>
      <c r="G902" s="53"/>
    </row>
    <row r="903">
      <c r="F903" s="88"/>
      <c r="G903" s="53"/>
    </row>
    <row r="904">
      <c r="F904" s="88"/>
      <c r="G904" s="53"/>
    </row>
    <row r="905">
      <c r="F905" s="88"/>
      <c r="G905" s="53"/>
    </row>
    <row r="906">
      <c r="F906" s="88"/>
      <c r="G906" s="53"/>
    </row>
    <row r="907">
      <c r="F907" s="88"/>
      <c r="G907" s="53"/>
    </row>
    <row r="908">
      <c r="F908" s="88"/>
      <c r="G908" s="53"/>
    </row>
    <row r="909">
      <c r="F909" s="88"/>
      <c r="G909" s="53"/>
    </row>
    <row r="910">
      <c r="F910" s="88"/>
      <c r="G910" s="53"/>
    </row>
    <row r="911">
      <c r="F911" s="88"/>
      <c r="G911" s="53"/>
    </row>
    <row r="912">
      <c r="F912" s="88"/>
      <c r="G912" s="53"/>
    </row>
    <row r="913">
      <c r="F913" s="88"/>
      <c r="G913" s="53"/>
    </row>
    <row r="914">
      <c r="F914" s="88"/>
      <c r="G914" s="53"/>
    </row>
    <row r="915">
      <c r="F915" s="88"/>
      <c r="G915" s="53"/>
    </row>
    <row r="916">
      <c r="F916" s="88"/>
      <c r="G916" s="53"/>
    </row>
    <row r="917">
      <c r="F917" s="88"/>
      <c r="G917" s="53"/>
    </row>
    <row r="918">
      <c r="F918" s="88"/>
      <c r="G918" s="53"/>
    </row>
    <row r="919">
      <c r="F919" s="88"/>
      <c r="G919" s="53"/>
    </row>
    <row r="920">
      <c r="F920" s="88"/>
      <c r="G920" s="53"/>
    </row>
    <row r="921">
      <c r="F921" s="88"/>
      <c r="G921" s="53"/>
    </row>
    <row r="922">
      <c r="F922" s="88"/>
      <c r="G922" s="53"/>
    </row>
    <row r="923">
      <c r="F923" s="88"/>
      <c r="G923" s="53"/>
    </row>
    <row r="924">
      <c r="F924" s="88"/>
      <c r="G924" s="53"/>
    </row>
    <row r="925">
      <c r="F925" s="88"/>
      <c r="G925" s="53"/>
    </row>
    <row r="926">
      <c r="F926" s="88"/>
      <c r="G926" s="53"/>
    </row>
    <row r="927">
      <c r="F927" s="88"/>
      <c r="G927" s="53"/>
    </row>
    <row r="928">
      <c r="F928" s="88"/>
      <c r="G928" s="53"/>
    </row>
    <row r="929">
      <c r="F929" s="88"/>
      <c r="G929" s="53"/>
    </row>
    <row r="930">
      <c r="F930" s="88"/>
      <c r="G930" s="53"/>
    </row>
    <row r="931">
      <c r="F931" s="88"/>
      <c r="G931" s="53"/>
    </row>
    <row r="932">
      <c r="F932" s="88"/>
      <c r="G932" s="53"/>
    </row>
    <row r="933">
      <c r="F933" s="88"/>
      <c r="G933" s="53"/>
    </row>
    <row r="934">
      <c r="F934" s="88"/>
      <c r="G934" s="53"/>
    </row>
    <row r="935">
      <c r="F935" s="88"/>
      <c r="G935" s="53"/>
    </row>
    <row r="936">
      <c r="F936" s="88"/>
      <c r="G936" s="53"/>
    </row>
    <row r="937">
      <c r="F937" s="88"/>
      <c r="G937" s="53"/>
    </row>
    <row r="938">
      <c r="F938" s="88"/>
      <c r="G938" s="53"/>
    </row>
    <row r="939">
      <c r="F939" s="88"/>
      <c r="G939" s="53"/>
    </row>
    <row r="940">
      <c r="F940" s="88"/>
      <c r="G940" s="53"/>
    </row>
    <row r="941">
      <c r="F941" s="88"/>
      <c r="G941" s="53"/>
    </row>
    <row r="942">
      <c r="F942" s="88"/>
      <c r="G942" s="53"/>
    </row>
    <row r="943">
      <c r="F943" s="88"/>
      <c r="G943" s="53"/>
    </row>
    <row r="944">
      <c r="F944" s="88"/>
      <c r="G944" s="53"/>
    </row>
    <row r="945">
      <c r="F945" s="88"/>
      <c r="G945" s="53"/>
    </row>
    <row r="946">
      <c r="F946" s="88"/>
      <c r="G946" s="53"/>
    </row>
    <row r="947">
      <c r="F947" s="88"/>
      <c r="G947" s="53"/>
    </row>
    <row r="948">
      <c r="F948" s="88"/>
      <c r="G948" s="53"/>
    </row>
    <row r="949">
      <c r="F949" s="88"/>
      <c r="G949" s="53"/>
    </row>
    <row r="950">
      <c r="F950" s="88"/>
      <c r="G950" s="53"/>
    </row>
    <row r="951">
      <c r="F951" s="88"/>
      <c r="G951" s="53"/>
    </row>
    <row r="952">
      <c r="F952" s="88"/>
      <c r="G952" s="53"/>
    </row>
    <row r="953">
      <c r="F953" s="88"/>
      <c r="G953" s="53"/>
    </row>
    <row r="954">
      <c r="F954" s="88"/>
      <c r="G954" s="53"/>
    </row>
    <row r="955">
      <c r="F955" s="88"/>
      <c r="G955" s="53"/>
    </row>
    <row r="956">
      <c r="F956" s="88"/>
      <c r="G956" s="53"/>
    </row>
    <row r="957">
      <c r="F957" s="88"/>
      <c r="G957" s="53"/>
    </row>
    <row r="958">
      <c r="F958" s="88"/>
      <c r="G958" s="53"/>
    </row>
    <row r="959">
      <c r="F959" s="88"/>
      <c r="G959" s="53"/>
    </row>
    <row r="960">
      <c r="F960" s="88"/>
      <c r="G960" s="53"/>
    </row>
    <row r="961">
      <c r="F961" s="88"/>
      <c r="G961" s="53"/>
    </row>
    <row r="962">
      <c r="F962" s="88"/>
      <c r="G962" s="53"/>
    </row>
    <row r="963">
      <c r="F963" s="88"/>
      <c r="G963" s="53"/>
    </row>
    <row r="964">
      <c r="F964" s="88"/>
      <c r="G964" s="53"/>
    </row>
    <row r="965">
      <c r="F965" s="88"/>
      <c r="G965" s="53"/>
    </row>
    <row r="966">
      <c r="F966" s="88"/>
      <c r="G966" s="53"/>
    </row>
    <row r="967">
      <c r="F967" s="88"/>
      <c r="G967" s="53"/>
    </row>
    <row r="968">
      <c r="F968" s="88"/>
      <c r="G968" s="53"/>
    </row>
    <row r="969">
      <c r="F969" s="88"/>
      <c r="G969" s="53"/>
    </row>
    <row r="970">
      <c r="F970" s="88"/>
      <c r="G970" s="53"/>
    </row>
    <row r="971">
      <c r="F971" s="88"/>
      <c r="G971" s="53"/>
    </row>
    <row r="972">
      <c r="F972" s="88"/>
      <c r="G972" s="53"/>
    </row>
    <row r="973">
      <c r="F973" s="88"/>
      <c r="G973" s="53"/>
    </row>
    <row r="974">
      <c r="F974" s="88"/>
      <c r="G974" s="53"/>
    </row>
    <row r="975">
      <c r="F975" s="88"/>
      <c r="G975" s="53"/>
    </row>
    <row r="976">
      <c r="F976" s="88"/>
      <c r="G976" s="53"/>
    </row>
    <row r="977">
      <c r="F977" s="88"/>
      <c r="G977" s="53"/>
    </row>
    <row r="978">
      <c r="F978" s="88"/>
      <c r="G978" s="53"/>
    </row>
    <row r="979">
      <c r="F979" s="88"/>
      <c r="G979" s="53"/>
    </row>
    <row r="980">
      <c r="F980" s="88"/>
      <c r="G980" s="53"/>
    </row>
    <row r="981">
      <c r="F981" s="88"/>
      <c r="G981" s="53"/>
    </row>
    <row r="982">
      <c r="F982" s="88"/>
      <c r="G982" s="53"/>
    </row>
    <row r="983">
      <c r="F983" s="88"/>
      <c r="G983" s="53"/>
    </row>
    <row r="984">
      <c r="F984" s="88"/>
      <c r="G984" s="53"/>
    </row>
    <row r="985">
      <c r="F985" s="88"/>
      <c r="G985" s="53"/>
    </row>
    <row r="986">
      <c r="F986" s="88"/>
      <c r="G986" s="53"/>
    </row>
    <row r="987">
      <c r="F987" s="88"/>
      <c r="G987" s="53"/>
    </row>
    <row r="988">
      <c r="F988" s="88"/>
      <c r="G988" s="53"/>
    </row>
    <row r="989">
      <c r="F989" s="88"/>
      <c r="G989" s="53"/>
    </row>
    <row r="990">
      <c r="F990" s="88"/>
      <c r="G990" s="53"/>
    </row>
    <row r="991">
      <c r="F991" s="88"/>
      <c r="G991" s="53"/>
    </row>
    <row r="992">
      <c r="F992" s="88"/>
      <c r="G992" s="53"/>
    </row>
    <row r="993">
      <c r="F993" s="88"/>
      <c r="G993" s="53"/>
    </row>
    <row r="994">
      <c r="F994" s="88"/>
      <c r="G994" s="53"/>
    </row>
    <row r="995">
      <c r="F995" s="88"/>
      <c r="G995" s="53"/>
    </row>
    <row r="996">
      <c r="F996" s="88"/>
      <c r="G996" s="53"/>
    </row>
    <row r="997">
      <c r="F997" s="88"/>
      <c r="G997" s="53"/>
    </row>
    <row r="998">
      <c r="F998" s="88"/>
      <c r="G998" s="53"/>
    </row>
    <row r="999">
      <c r="F999" s="88"/>
      <c r="G999" s="53"/>
    </row>
    <row r="1000">
      <c r="F1000" s="88"/>
      <c r="G1000" s="53"/>
    </row>
    <row r="1001">
      <c r="F1001" s="88"/>
      <c r="G1001" s="53"/>
    </row>
    <row r="1002">
      <c r="F1002" s="88"/>
      <c r="G1002" s="53"/>
    </row>
    <row r="1003">
      <c r="F1003" s="88"/>
      <c r="G1003" s="53"/>
    </row>
    <row r="1004">
      <c r="F1004" s="88"/>
      <c r="G1004" s="53"/>
    </row>
    <row r="1005">
      <c r="F1005" s="88"/>
      <c r="G1005" s="53"/>
    </row>
  </sheetData>
  <mergeCells count="6">
    <mergeCell ref="A1:D1"/>
    <mergeCell ref="A9:D9"/>
    <mergeCell ref="A16:D16"/>
    <mergeCell ref="A22:D22"/>
    <mergeCell ref="A27:D27"/>
    <mergeCell ref="A32:D32"/>
  </mergeCells>
  <hyperlinks>
    <hyperlink r:id="rId1" ref="G2"/>
    <hyperlink r:id="rId2" ref="G3"/>
    <hyperlink r:id="rId3" ref="G5"/>
    <hyperlink r:id="rId4" ref="G6"/>
    <hyperlink r:id="rId5" ref="G10"/>
    <hyperlink r:id="rId6" ref="G11"/>
    <hyperlink r:id="rId7" ref="G12"/>
    <hyperlink r:id="rId8" ref="G13"/>
    <hyperlink r:id="rId9" ref="G14"/>
    <hyperlink r:id="rId10" ref="G17"/>
    <hyperlink r:id="rId11" ref="G19"/>
    <hyperlink r:id="rId12" ref="G20"/>
    <hyperlink r:id="rId13" ref="G23"/>
    <hyperlink r:id="rId14" ref="G24"/>
    <hyperlink r:id="rId15" ref="G25"/>
    <hyperlink r:id="rId16" ref="G28"/>
    <hyperlink r:id="rId17" ref="G29"/>
    <hyperlink r:id="rId18" ref="G30"/>
    <hyperlink r:id="rId19" ref="G34"/>
    <hyperlink r:id="rId20" ref="G35"/>
    <hyperlink r:id="rId21" ref="G36"/>
    <hyperlink r:id="rId22" ref="G37"/>
    <hyperlink r:id="rId23" ref="G38"/>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17.14"/>
    <col customWidth="1" min="3" max="3" width="37.29"/>
    <col customWidth="1" min="4" max="4" width="41.43"/>
    <col customWidth="1" min="6" max="6" width="207.29"/>
    <col customWidth="1" min="7" max="7" width="52.43"/>
    <col customWidth="1" min="10" max="10" width="24.14"/>
    <col customWidth="1" min="13" max="13" width="17.14"/>
  </cols>
  <sheetData>
    <row r="1">
      <c r="A1" s="4" t="s">
        <v>0</v>
      </c>
      <c r="B1" s="6"/>
      <c r="C1" s="6"/>
      <c r="D1" s="6"/>
      <c r="E1" s="8" t="s">
        <v>3</v>
      </c>
      <c r="F1" s="9" t="s">
        <v>4</v>
      </c>
      <c r="G1" s="10" t="s">
        <v>5</v>
      </c>
    </row>
    <row r="2">
      <c r="A2" s="5" t="s">
        <v>1</v>
      </c>
      <c r="B2" s="7" t="s">
        <v>2</v>
      </c>
      <c r="C2" s="11" t="s">
        <v>6</v>
      </c>
      <c r="D2" s="12" t="s">
        <v>7</v>
      </c>
      <c r="E2" s="8">
        <v>5.0</v>
      </c>
      <c r="F2" s="14" t="s">
        <v>9</v>
      </c>
      <c r="G2" s="20" t="s">
        <v>11</v>
      </c>
      <c r="J2" s="17" t="s">
        <v>43</v>
      </c>
      <c r="K2" s="8" t="s">
        <v>45</v>
      </c>
      <c r="L2" s="8" t="s">
        <v>46</v>
      </c>
      <c r="M2" s="8" t="s">
        <v>47</v>
      </c>
    </row>
    <row r="3">
      <c r="A3" s="5" t="s">
        <v>12</v>
      </c>
      <c r="B3" s="7" t="s">
        <v>2</v>
      </c>
      <c r="C3" s="11" t="s">
        <v>14</v>
      </c>
      <c r="D3" s="12" t="s">
        <v>15</v>
      </c>
      <c r="E3" s="8">
        <v>3.0</v>
      </c>
      <c r="F3" s="25" t="s">
        <v>53</v>
      </c>
      <c r="G3" s="29" t="s">
        <v>55</v>
      </c>
      <c r="J3" s="8" t="s">
        <v>2</v>
      </c>
      <c r="K3" s="8">
        <f>E8</f>
        <v>21</v>
      </c>
      <c r="L3" s="8">
        <v>30.0</v>
      </c>
      <c r="M3" s="28">
        <f t="shared" ref="M3:M9" si="1">K3/L3</f>
        <v>0.7</v>
      </c>
    </row>
    <row r="4">
      <c r="A4" s="5" t="s">
        <v>18</v>
      </c>
      <c r="B4" s="7" t="s">
        <v>2</v>
      </c>
      <c r="C4" s="11" t="s">
        <v>19</v>
      </c>
      <c r="D4" s="12" t="s">
        <v>21</v>
      </c>
      <c r="E4" s="8">
        <v>4.0</v>
      </c>
      <c r="F4" s="37" t="s">
        <v>92</v>
      </c>
      <c r="G4" s="29" t="s">
        <v>97</v>
      </c>
      <c r="J4" s="8" t="s">
        <v>51</v>
      </c>
      <c r="K4" s="8">
        <f>E15</f>
        <v>18</v>
      </c>
      <c r="L4" s="8">
        <v>25.0</v>
      </c>
      <c r="M4" s="28">
        <f t="shared" si="1"/>
        <v>0.72</v>
      </c>
    </row>
    <row r="5">
      <c r="A5" s="5" t="s">
        <v>24</v>
      </c>
      <c r="B5" s="7" t="s">
        <v>2</v>
      </c>
      <c r="C5" s="11" t="s">
        <v>25</v>
      </c>
      <c r="D5" s="12" t="s">
        <v>26</v>
      </c>
      <c r="E5" s="8">
        <v>4.0</v>
      </c>
      <c r="F5" s="37" t="s">
        <v>116</v>
      </c>
      <c r="G5" s="29" t="s">
        <v>117</v>
      </c>
      <c r="J5" s="8" t="s">
        <v>84</v>
      </c>
      <c r="K5" s="8">
        <f>E21</f>
        <v>17</v>
      </c>
      <c r="L5" s="8">
        <v>20.0</v>
      </c>
      <c r="M5" s="28">
        <f t="shared" si="1"/>
        <v>0.85</v>
      </c>
    </row>
    <row r="6">
      <c r="A6" s="5" t="s">
        <v>29</v>
      </c>
      <c r="B6" s="7" t="s">
        <v>2</v>
      </c>
      <c r="C6" s="11" t="s">
        <v>30</v>
      </c>
      <c r="D6" s="12" t="s">
        <v>31</v>
      </c>
      <c r="E6" s="8">
        <v>1.0</v>
      </c>
      <c r="F6" s="37" t="s">
        <v>135</v>
      </c>
      <c r="G6" s="53"/>
      <c r="J6" s="8" t="s">
        <v>90</v>
      </c>
      <c r="K6" s="8">
        <f>E26</f>
        <v>11</v>
      </c>
      <c r="L6" s="8">
        <v>15.0</v>
      </c>
      <c r="M6" s="28">
        <f t="shared" si="1"/>
        <v>0.7333333333</v>
      </c>
    </row>
    <row r="7">
      <c r="A7" s="5" t="s">
        <v>36</v>
      </c>
      <c r="B7" s="7" t="s">
        <v>2</v>
      </c>
      <c r="C7" s="11" t="s">
        <v>37</v>
      </c>
      <c r="D7" s="12" t="s">
        <v>38</v>
      </c>
      <c r="E7" s="8">
        <v>4.0</v>
      </c>
      <c r="F7" s="37" t="s">
        <v>145</v>
      </c>
      <c r="G7" s="29" t="s">
        <v>148</v>
      </c>
      <c r="J7" s="8" t="s">
        <v>110</v>
      </c>
      <c r="K7" s="8">
        <f>E31</f>
        <v>13</v>
      </c>
      <c r="L7" s="8">
        <v>15.0</v>
      </c>
      <c r="M7" s="28">
        <f t="shared" si="1"/>
        <v>0.8666666667</v>
      </c>
    </row>
    <row r="8">
      <c r="A8" s="39"/>
      <c r="B8" s="41"/>
      <c r="C8" s="43"/>
      <c r="D8" s="45"/>
      <c r="E8" s="8">
        <f>SUM(E2:E7)</f>
        <v>21</v>
      </c>
      <c r="F8" s="37"/>
      <c r="G8" s="10"/>
      <c r="H8" s="8" t="s">
        <v>181</v>
      </c>
      <c r="J8" s="8" t="s">
        <v>122</v>
      </c>
      <c r="K8" s="8">
        <f>E39</f>
        <v>17</v>
      </c>
      <c r="L8" s="8">
        <v>30.0</v>
      </c>
      <c r="M8" s="28">
        <f t="shared" si="1"/>
        <v>0.5666666667</v>
      </c>
    </row>
    <row r="9">
      <c r="A9" s="18" t="s">
        <v>44</v>
      </c>
      <c r="B9" s="19"/>
      <c r="C9" s="19"/>
      <c r="D9" s="21"/>
      <c r="E9" s="28" t="str">
        <f>IFERROR(__xludf.DUMMYFUNCTION("AI(""Fill an appropriate value for this cell based on the table context"")"),"")</f>
        <v/>
      </c>
      <c r="F9" s="70"/>
      <c r="G9" s="53"/>
      <c r="K9" s="28">
        <f t="shared" ref="K9:L9" si="2">SUM(K3:K8)</f>
        <v>97</v>
      </c>
      <c r="L9" s="28">
        <f t="shared" si="2"/>
        <v>135</v>
      </c>
      <c r="M9" s="28">
        <f t="shared" si="1"/>
        <v>0.7185185185</v>
      </c>
    </row>
    <row r="10">
      <c r="A10" s="22" t="s">
        <v>48</v>
      </c>
      <c r="B10" s="23" t="s">
        <v>51</v>
      </c>
      <c r="C10" s="24" t="s">
        <v>52</v>
      </c>
      <c r="D10" s="26" t="s">
        <v>54</v>
      </c>
      <c r="E10" s="8">
        <v>4.0</v>
      </c>
      <c r="F10" s="37" t="s">
        <v>197</v>
      </c>
      <c r="G10" s="29" t="s">
        <v>198</v>
      </c>
    </row>
    <row r="11">
      <c r="A11" s="22" t="s">
        <v>58</v>
      </c>
      <c r="B11" s="23" t="s">
        <v>51</v>
      </c>
      <c r="C11" s="24" t="s">
        <v>59</v>
      </c>
      <c r="D11" s="26" t="s">
        <v>60</v>
      </c>
      <c r="E11" s="8">
        <v>4.0</v>
      </c>
      <c r="F11" s="37" t="s">
        <v>203</v>
      </c>
      <c r="G11" s="29" t="s">
        <v>204</v>
      </c>
    </row>
    <row r="12">
      <c r="A12" s="22" t="s">
        <v>63</v>
      </c>
      <c r="B12" s="23" t="s">
        <v>51</v>
      </c>
      <c r="C12" s="24" t="s">
        <v>64</v>
      </c>
      <c r="D12" s="26" t="s">
        <v>65</v>
      </c>
      <c r="E12" s="8">
        <v>5.0</v>
      </c>
      <c r="F12" s="37" t="s">
        <v>208</v>
      </c>
      <c r="G12" s="29" t="s">
        <v>209</v>
      </c>
    </row>
    <row r="13">
      <c r="A13" s="22" t="s">
        <v>68</v>
      </c>
      <c r="B13" s="23" t="s">
        <v>51</v>
      </c>
      <c r="C13" s="24" t="s">
        <v>69</v>
      </c>
      <c r="D13" s="26" t="s">
        <v>70</v>
      </c>
      <c r="E13" s="8">
        <v>2.0</v>
      </c>
      <c r="F13" s="37" t="s">
        <v>215</v>
      </c>
      <c r="G13" s="53"/>
    </row>
    <row r="14">
      <c r="A14" s="22" t="s">
        <v>73</v>
      </c>
      <c r="B14" s="23" t="s">
        <v>51</v>
      </c>
      <c r="C14" s="24" t="s">
        <v>74</v>
      </c>
      <c r="D14" s="26" t="s">
        <v>76</v>
      </c>
      <c r="E14" s="8">
        <v>3.0</v>
      </c>
      <c r="F14" s="37" t="s">
        <v>217</v>
      </c>
      <c r="G14" s="29" t="s">
        <v>218</v>
      </c>
    </row>
    <row r="15">
      <c r="A15" s="61"/>
      <c r="B15" s="63"/>
      <c r="C15" s="64"/>
      <c r="D15" s="65"/>
      <c r="E15" s="8">
        <f>SUM(E10:E14)</f>
        <v>18</v>
      </c>
      <c r="F15" s="37"/>
      <c r="G15" s="10"/>
      <c r="H15" s="8" t="s">
        <v>225</v>
      </c>
    </row>
    <row r="16">
      <c r="A16" s="30" t="s">
        <v>81</v>
      </c>
      <c r="B16" s="19"/>
      <c r="C16" s="19"/>
      <c r="D16" s="21"/>
      <c r="F16" s="70"/>
      <c r="G16" s="53"/>
    </row>
    <row r="17">
      <c r="A17" s="32" t="s">
        <v>83</v>
      </c>
      <c r="B17" s="33" t="s">
        <v>84</v>
      </c>
      <c r="C17" s="34" t="s">
        <v>85</v>
      </c>
      <c r="D17" s="35" t="s">
        <v>86</v>
      </c>
      <c r="E17" s="8">
        <v>5.0</v>
      </c>
      <c r="F17" s="37" t="s">
        <v>230</v>
      </c>
      <c r="G17" s="53"/>
    </row>
    <row r="18">
      <c r="A18" s="32" t="s">
        <v>93</v>
      </c>
      <c r="B18" s="33" t="s">
        <v>84</v>
      </c>
      <c r="C18" s="34" t="s">
        <v>94</v>
      </c>
      <c r="D18" s="35" t="s">
        <v>95</v>
      </c>
      <c r="E18" s="8">
        <v>4.0</v>
      </c>
      <c r="F18" s="37" t="s">
        <v>232</v>
      </c>
      <c r="G18" s="53"/>
    </row>
    <row r="19">
      <c r="A19" s="32" t="s">
        <v>99</v>
      </c>
      <c r="B19" s="33" t="s">
        <v>84</v>
      </c>
      <c r="C19" s="34" t="s">
        <v>100</v>
      </c>
      <c r="D19" s="35" t="s">
        <v>101</v>
      </c>
      <c r="E19" s="8">
        <v>5.0</v>
      </c>
      <c r="F19" s="37" t="s">
        <v>233</v>
      </c>
      <c r="G19" s="53"/>
    </row>
    <row r="20">
      <c r="A20" s="32" t="s">
        <v>104</v>
      </c>
      <c r="B20" s="33" t="s">
        <v>84</v>
      </c>
      <c r="C20" s="34" t="s">
        <v>106</v>
      </c>
      <c r="D20" s="35" t="s">
        <v>107</v>
      </c>
      <c r="E20" s="8">
        <v>3.0</v>
      </c>
      <c r="F20" s="37" t="s">
        <v>234</v>
      </c>
      <c r="G20" s="53"/>
    </row>
    <row r="21">
      <c r="A21" s="71"/>
      <c r="B21" s="72"/>
      <c r="C21" s="73"/>
      <c r="D21" s="74"/>
      <c r="E21" s="8">
        <f>SUM(E17:E20)</f>
        <v>17</v>
      </c>
      <c r="F21" s="37"/>
      <c r="G21" s="53"/>
      <c r="H21" s="8" t="s">
        <v>237</v>
      </c>
    </row>
    <row r="22">
      <c r="A22" s="38" t="s">
        <v>112</v>
      </c>
      <c r="B22" s="19"/>
      <c r="C22" s="19"/>
      <c r="D22" s="21"/>
      <c r="F22" s="70"/>
      <c r="G22" s="53"/>
    </row>
    <row r="23">
      <c r="A23" s="40" t="s">
        <v>113</v>
      </c>
      <c r="B23" s="42" t="s">
        <v>90</v>
      </c>
      <c r="C23" s="44" t="s">
        <v>114</v>
      </c>
      <c r="D23" s="47" t="s">
        <v>115</v>
      </c>
      <c r="E23" s="8">
        <v>3.0</v>
      </c>
      <c r="F23" s="9" t="s">
        <v>239</v>
      </c>
      <c r="G23" s="53"/>
    </row>
    <row r="24">
      <c r="A24" s="40" t="s">
        <v>120</v>
      </c>
      <c r="B24" s="42" t="s">
        <v>90</v>
      </c>
      <c r="C24" s="44" t="s">
        <v>121</v>
      </c>
      <c r="D24" s="47" t="s">
        <v>123</v>
      </c>
      <c r="E24" s="8">
        <v>3.0</v>
      </c>
      <c r="F24" s="37" t="s">
        <v>242</v>
      </c>
      <c r="G24" s="29" t="s">
        <v>243</v>
      </c>
    </row>
    <row r="25">
      <c r="A25" s="40" t="s">
        <v>126</v>
      </c>
      <c r="B25" s="42" t="s">
        <v>90</v>
      </c>
      <c r="C25" s="44" t="s">
        <v>127</v>
      </c>
      <c r="D25" s="47" t="s">
        <v>128</v>
      </c>
      <c r="E25" s="8">
        <v>5.0</v>
      </c>
      <c r="F25" s="37" t="s">
        <v>246</v>
      </c>
      <c r="G25" s="29" t="s">
        <v>247</v>
      </c>
    </row>
    <row r="26">
      <c r="A26" s="75"/>
      <c r="B26" s="76"/>
      <c r="C26" s="77"/>
      <c r="D26" s="78"/>
      <c r="E26" s="8">
        <f>SUM(E23:E25)</f>
        <v>11</v>
      </c>
      <c r="F26" s="37"/>
      <c r="G26" s="10"/>
      <c r="H26" s="89">
        <v>46341.0</v>
      </c>
    </row>
    <row r="27">
      <c r="A27" s="50" t="s">
        <v>132</v>
      </c>
      <c r="B27" s="19"/>
      <c r="C27" s="19"/>
      <c r="D27" s="21"/>
      <c r="F27" s="70"/>
      <c r="G27" s="53"/>
    </row>
    <row r="28">
      <c r="A28" s="51" t="s">
        <v>134</v>
      </c>
      <c r="B28" s="52" t="s">
        <v>110</v>
      </c>
      <c r="C28" s="54" t="s">
        <v>136</v>
      </c>
      <c r="D28" s="55" t="s">
        <v>137</v>
      </c>
      <c r="E28" s="8">
        <v>5.0</v>
      </c>
      <c r="F28" s="37" t="s">
        <v>250</v>
      </c>
      <c r="G28" s="29" t="s">
        <v>251</v>
      </c>
    </row>
    <row r="29">
      <c r="A29" s="51" t="s">
        <v>140</v>
      </c>
      <c r="B29" s="52" t="s">
        <v>110</v>
      </c>
      <c r="C29" s="54" t="s">
        <v>141</v>
      </c>
      <c r="D29" s="55" t="s">
        <v>142</v>
      </c>
      <c r="E29" s="8">
        <v>3.0</v>
      </c>
      <c r="F29" s="37" t="s">
        <v>254</v>
      </c>
      <c r="G29" s="29" t="s">
        <v>11</v>
      </c>
    </row>
    <row r="30">
      <c r="A30" s="51" t="s">
        <v>146</v>
      </c>
      <c r="B30" s="52" t="s">
        <v>110</v>
      </c>
      <c r="C30" s="54" t="s">
        <v>149</v>
      </c>
      <c r="D30" s="55" t="s">
        <v>150</v>
      </c>
      <c r="E30" s="8">
        <v>5.0</v>
      </c>
      <c r="F30" s="37" t="s">
        <v>255</v>
      </c>
      <c r="G30" s="29" t="s">
        <v>256</v>
      </c>
    </row>
    <row r="31">
      <c r="A31" s="80"/>
      <c r="B31" s="81"/>
      <c r="C31" s="82"/>
      <c r="D31" s="83"/>
      <c r="E31" s="8">
        <f>SUM(E28:E30)</f>
        <v>13</v>
      </c>
      <c r="F31" s="37"/>
      <c r="G31" s="10"/>
      <c r="H31" s="8" t="s">
        <v>259</v>
      </c>
    </row>
    <row r="32">
      <c r="A32" s="57" t="s">
        <v>122</v>
      </c>
      <c r="B32" s="58"/>
      <c r="C32" s="58"/>
      <c r="D32" s="59"/>
      <c r="F32" s="70"/>
      <c r="G32" s="53"/>
    </row>
    <row r="33">
      <c r="A33" s="60" t="s">
        <v>159</v>
      </c>
      <c r="B33" s="62" t="s">
        <v>122</v>
      </c>
      <c r="C33" s="62" t="s">
        <v>161</v>
      </c>
      <c r="D33" s="62" t="s">
        <v>162</v>
      </c>
      <c r="E33" s="8">
        <v>4.0</v>
      </c>
      <c r="F33" s="37" t="s">
        <v>262</v>
      </c>
      <c r="G33" s="29" t="s">
        <v>117</v>
      </c>
    </row>
    <row r="34">
      <c r="A34" s="60" t="s">
        <v>165</v>
      </c>
      <c r="B34" s="62" t="s">
        <v>122</v>
      </c>
      <c r="C34" s="62" t="s">
        <v>166</v>
      </c>
      <c r="D34" s="62" t="s">
        <v>167</v>
      </c>
      <c r="E34" s="8">
        <v>2.0</v>
      </c>
      <c r="F34" s="37" t="s">
        <v>270</v>
      </c>
      <c r="G34" s="53"/>
    </row>
    <row r="35">
      <c r="A35" s="60" t="s">
        <v>170</v>
      </c>
      <c r="B35" s="62" t="s">
        <v>122</v>
      </c>
      <c r="C35" s="62" t="s">
        <v>171</v>
      </c>
      <c r="D35" s="62" t="s">
        <v>172</v>
      </c>
      <c r="E35" s="8">
        <v>2.0</v>
      </c>
      <c r="F35" s="37" t="s">
        <v>271</v>
      </c>
      <c r="G35" s="53"/>
    </row>
    <row r="36">
      <c r="A36" s="60" t="s">
        <v>175</v>
      </c>
      <c r="B36" s="62" t="s">
        <v>122</v>
      </c>
      <c r="C36" s="62" t="s">
        <v>176</v>
      </c>
      <c r="D36" s="62" t="s">
        <v>177</v>
      </c>
      <c r="E36" s="8">
        <v>3.0</v>
      </c>
      <c r="F36" s="37" t="s">
        <v>272</v>
      </c>
      <c r="G36" s="53"/>
    </row>
    <row r="37">
      <c r="A37" s="66" t="s">
        <v>184</v>
      </c>
      <c r="B37" s="62" t="s">
        <v>122</v>
      </c>
      <c r="C37" s="67" t="s">
        <v>185</v>
      </c>
      <c r="D37" s="68" t="s">
        <v>187</v>
      </c>
      <c r="E37" s="8">
        <v>4.0</v>
      </c>
      <c r="F37" s="37" t="s">
        <v>273</v>
      </c>
      <c r="G37" s="29" t="s">
        <v>274</v>
      </c>
    </row>
    <row r="38">
      <c r="A38" s="66" t="s">
        <v>192</v>
      </c>
      <c r="B38" s="62" t="s">
        <v>122</v>
      </c>
      <c r="C38" s="67" t="s">
        <v>193</v>
      </c>
      <c r="D38" s="68" t="s">
        <v>194</v>
      </c>
      <c r="E38" s="8">
        <v>2.0</v>
      </c>
      <c r="F38" s="92" t="s">
        <v>283</v>
      </c>
      <c r="G38" s="53"/>
    </row>
    <row r="39">
      <c r="A39" s="84"/>
      <c r="B39" s="85"/>
      <c r="C39" s="86"/>
      <c r="D39" s="87"/>
      <c r="E39" s="8">
        <f>SUM(E33:E38)</f>
        <v>17</v>
      </c>
      <c r="F39" s="92"/>
      <c r="G39" s="53"/>
      <c r="H39" s="8" t="s">
        <v>287</v>
      </c>
    </row>
    <row r="40">
      <c r="F40" s="93"/>
      <c r="G40" s="53"/>
    </row>
    <row r="41">
      <c r="F41" s="88"/>
      <c r="G41" s="53"/>
    </row>
    <row r="42">
      <c r="F42" s="88"/>
      <c r="G42" s="53"/>
    </row>
    <row r="43">
      <c r="F43" s="88"/>
      <c r="G43" s="53"/>
    </row>
    <row r="44">
      <c r="F44" s="88"/>
      <c r="G44" s="53"/>
    </row>
    <row r="45">
      <c r="F45" s="88"/>
      <c r="G45" s="53"/>
    </row>
    <row r="46">
      <c r="F46" s="88"/>
      <c r="G46" s="53"/>
    </row>
    <row r="47">
      <c r="F47" s="88"/>
      <c r="G47" s="53"/>
    </row>
    <row r="48">
      <c r="F48" s="88"/>
      <c r="G48" s="53"/>
    </row>
    <row r="49">
      <c r="F49" s="88"/>
      <c r="G49" s="53"/>
    </row>
    <row r="50">
      <c r="F50" s="88"/>
      <c r="G50" s="53"/>
    </row>
    <row r="51">
      <c r="F51" s="88"/>
      <c r="G51" s="53"/>
    </row>
    <row r="52">
      <c r="F52" s="88"/>
      <c r="G52" s="53"/>
    </row>
    <row r="53">
      <c r="F53" s="88"/>
      <c r="G53" s="53"/>
    </row>
    <row r="54">
      <c r="F54" s="88"/>
      <c r="G54" s="53"/>
    </row>
    <row r="55">
      <c r="F55" s="88"/>
      <c r="G55" s="53"/>
    </row>
    <row r="56">
      <c r="F56" s="88"/>
      <c r="G56" s="53"/>
    </row>
    <row r="57">
      <c r="F57" s="88"/>
      <c r="G57" s="53"/>
    </row>
    <row r="58">
      <c r="F58" s="88"/>
      <c r="G58" s="53"/>
    </row>
    <row r="59">
      <c r="F59" s="88"/>
      <c r="G59" s="53"/>
    </row>
    <row r="60">
      <c r="F60" s="88"/>
      <c r="G60" s="53"/>
    </row>
    <row r="61">
      <c r="F61" s="88"/>
      <c r="G61" s="53"/>
    </row>
    <row r="62">
      <c r="F62" s="88"/>
      <c r="G62" s="53"/>
    </row>
    <row r="63">
      <c r="F63" s="88"/>
      <c r="G63" s="53"/>
    </row>
    <row r="64">
      <c r="F64" s="88"/>
      <c r="G64" s="53"/>
    </row>
    <row r="65">
      <c r="F65" s="88"/>
      <c r="G65" s="53"/>
    </row>
    <row r="66">
      <c r="F66" s="88"/>
      <c r="G66" s="53"/>
    </row>
    <row r="67">
      <c r="F67" s="88"/>
      <c r="G67" s="53"/>
    </row>
    <row r="68">
      <c r="F68" s="88"/>
      <c r="G68" s="53"/>
    </row>
    <row r="69">
      <c r="F69" s="88"/>
      <c r="G69" s="53"/>
    </row>
    <row r="70">
      <c r="F70" s="88"/>
      <c r="G70" s="53"/>
    </row>
    <row r="71">
      <c r="F71" s="88"/>
      <c r="G71" s="53"/>
    </row>
    <row r="72">
      <c r="F72" s="88"/>
      <c r="G72" s="53"/>
    </row>
    <row r="73">
      <c r="F73" s="88"/>
      <c r="G73" s="53"/>
    </row>
    <row r="74">
      <c r="F74" s="88"/>
      <c r="G74" s="53"/>
    </row>
    <row r="75">
      <c r="F75" s="88"/>
      <c r="G75" s="53"/>
    </row>
    <row r="76">
      <c r="F76" s="88"/>
      <c r="G76" s="53"/>
    </row>
    <row r="77">
      <c r="F77" s="88"/>
      <c r="G77" s="53"/>
    </row>
    <row r="78">
      <c r="F78" s="88"/>
      <c r="G78" s="53"/>
    </row>
    <row r="79">
      <c r="F79" s="88"/>
      <c r="G79" s="53"/>
    </row>
    <row r="80">
      <c r="F80" s="88"/>
      <c r="G80" s="53"/>
    </row>
    <row r="81">
      <c r="F81" s="88"/>
      <c r="G81" s="53"/>
    </row>
    <row r="82">
      <c r="F82" s="88"/>
      <c r="G82" s="53"/>
    </row>
    <row r="83">
      <c r="F83" s="88"/>
      <c r="G83" s="53"/>
    </row>
    <row r="84">
      <c r="F84" s="88"/>
      <c r="G84" s="53"/>
    </row>
    <row r="85">
      <c r="F85" s="88"/>
      <c r="G85" s="53"/>
    </row>
    <row r="86">
      <c r="F86" s="88"/>
      <c r="G86" s="53"/>
    </row>
    <row r="87">
      <c r="F87" s="88"/>
      <c r="G87" s="53"/>
    </row>
    <row r="88">
      <c r="F88" s="88"/>
      <c r="G88" s="53"/>
    </row>
    <row r="89">
      <c r="F89" s="88"/>
      <c r="G89" s="53"/>
    </row>
    <row r="90">
      <c r="F90" s="88"/>
      <c r="G90" s="53"/>
    </row>
    <row r="91">
      <c r="F91" s="88"/>
      <c r="G91" s="53"/>
    </row>
    <row r="92">
      <c r="F92" s="88"/>
      <c r="G92" s="53"/>
    </row>
    <row r="93">
      <c r="F93" s="88"/>
      <c r="G93" s="53"/>
    </row>
    <row r="94">
      <c r="F94" s="88"/>
      <c r="G94" s="53"/>
    </row>
    <row r="95">
      <c r="F95" s="88"/>
      <c r="G95" s="53"/>
    </row>
    <row r="96">
      <c r="F96" s="88"/>
      <c r="G96" s="53"/>
    </row>
    <row r="97">
      <c r="F97" s="88"/>
      <c r="G97" s="53"/>
    </row>
    <row r="98">
      <c r="F98" s="88"/>
      <c r="G98" s="53"/>
    </row>
    <row r="99">
      <c r="F99" s="88"/>
      <c r="G99" s="53"/>
    </row>
    <row r="100">
      <c r="F100" s="88"/>
      <c r="G100" s="53"/>
    </row>
    <row r="101">
      <c r="F101" s="88"/>
      <c r="G101" s="53"/>
    </row>
    <row r="102">
      <c r="F102" s="88"/>
      <c r="G102" s="53"/>
    </row>
    <row r="103">
      <c r="F103" s="88"/>
      <c r="G103" s="53"/>
    </row>
    <row r="104">
      <c r="F104" s="88"/>
      <c r="G104" s="53"/>
    </row>
    <row r="105">
      <c r="F105" s="88"/>
      <c r="G105" s="53"/>
    </row>
    <row r="106">
      <c r="F106" s="88"/>
      <c r="G106" s="53"/>
    </row>
    <row r="107">
      <c r="F107" s="88"/>
      <c r="G107" s="53"/>
    </row>
    <row r="108">
      <c r="F108" s="88"/>
      <c r="G108" s="53"/>
    </row>
    <row r="109">
      <c r="F109" s="88"/>
      <c r="G109" s="53"/>
    </row>
    <row r="110">
      <c r="F110" s="88"/>
      <c r="G110" s="53"/>
    </row>
    <row r="111">
      <c r="F111" s="88"/>
      <c r="G111" s="53"/>
    </row>
    <row r="112">
      <c r="F112" s="88"/>
      <c r="G112" s="53"/>
    </row>
    <row r="113">
      <c r="F113" s="88"/>
      <c r="G113" s="53"/>
    </row>
    <row r="114">
      <c r="F114" s="88"/>
      <c r="G114" s="53"/>
    </row>
    <row r="115">
      <c r="F115" s="88"/>
      <c r="G115" s="53"/>
    </row>
    <row r="116">
      <c r="F116" s="88"/>
      <c r="G116" s="53"/>
    </row>
    <row r="117">
      <c r="F117" s="88"/>
      <c r="G117" s="53"/>
    </row>
    <row r="118">
      <c r="F118" s="88"/>
      <c r="G118" s="53"/>
    </row>
    <row r="119">
      <c r="F119" s="88"/>
      <c r="G119" s="53"/>
    </row>
    <row r="120">
      <c r="F120" s="88"/>
      <c r="G120" s="53"/>
    </row>
    <row r="121">
      <c r="F121" s="88"/>
      <c r="G121" s="53"/>
    </row>
    <row r="122">
      <c r="F122" s="88"/>
      <c r="G122" s="53"/>
    </row>
    <row r="123">
      <c r="F123" s="88"/>
      <c r="G123" s="53"/>
    </row>
    <row r="124">
      <c r="F124" s="88"/>
      <c r="G124" s="53"/>
    </row>
    <row r="125">
      <c r="F125" s="88"/>
      <c r="G125" s="53"/>
    </row>
    <row r="126">
      <c r="F126" s="88"/>
      <c r="G126" s="53"/>
    </row>
    <row r="127">
      <c r="F127" s="88"/>
      <c r="G127" s="53"/>
    </row>
    <row r="128">
      <c r="F128" s="88"/>
      <c r="G128" s="53"/>
    </row>
    <row r="129">
      <c r="F129" s="88"/>
      <c r="G129" s="53"/>
    </row>
    <row r="130">
      <c r="F130" s="88"/>
      <c r="G130" s="53"/>
    </row>
    <row r="131">
      <c r="F131" s="88"/>
      <c r="G131" s="53"/>
    </row>
    <row r="132">
      <c r="F132" s="88"/>
      <c r="G132" s="53"/>
    </row>
    <row r="133">
      <c r="F133" s="88"/>
      <c r="G133" s="53"/>
    </row>
    <row r="134">
      <c r="F134" s="88"/>
      <c r="G134" s="53"/>
    </row>
    <row r="135">
      <c r="F135" s="88"/>
      <c r="G135" s="53"/>
    </row>
    <row r="136">
      <c r="F136" s="88"/>
      <c r="G136" s="53"/>
    </row>
    <row r="137">
      <c r="F137" s="88"/>
      <c r="G137" s="53"/>
    </row>
    <row r="138">
      <c r="F138" s="88"/>
      <c r="G138" s="53"/>
    </row>
    <row r="139">
      <c r="F139" s="88"/>
      <c r="G139" s="53"/>
    </row>
    <row r="140">
      <c r="F140" s="88"/>
      <c r="G140" s="53"/>
    </row>
    <row r="141">
      <c r="F141" s="88"/>
      <c r="G141" s="53"/>
    </row>
    <row r="142">
      <c r="F142" s="88"/>
      <c r="G142" s="53"/>
    </row>
    <row r="143">
      <c r="F143" s="88"/>
      <c r="G143" s="53"/>
    </row>
    <row r="144">
      <c r="F144" s="88"/>
      <c r="G144" s="53"/>
    </row>
    <row r="145">
      <c r="F145" s="88"/>
      <c r="G145" s="53"/>
    </row>
    <row r="146">
      <c r="F146" s="88"/>
      <c r="G146" s="53"/>
    </row>
    <row r="147">
      <c r="F147" s="88"/>
      <c r="G147" s="53"/>
    </row>
    <row r="148">
      <c r="F148" s="88"/>
      <c r="G148" s="53"/>
    </row>
    <row r="149">
      <c r="F149" s="88"/>
      <c r="G149" s="53"/>
    </row>
    <row r="150">
      <c r="F150" s="88"/>
      <c r="G150" s="53"/>
    </row>
    <row r="151">
      <c r="F151" s="88"/>
      <c r="G151" s="53"/>
    </row>
    <row r="152">
      <c r="F152" s="88"/>
      <c r="G152" s="53"/>
    </row>
    <row r="153">
      <c r="F153" s="88"/>
      <c r="G153" s="53"/>
    </row>
    <row r="154">
      <c r="F154" s="88"/>
      <c r="G154" s="53"/>
    </row>
    <row r="155">
      <c r="F155" s="88"/>
      <c r="G155" s="53"/>
    </row>
    <row r="156">
      <c r="F156" s="88"/>
      <c r="G156" s="53"/>
    </row>
    <row r="157">
      <c r="F157" s="88"/>
      <c r="G157" s="53"/>
    </row>
    <row r="158">
      <c r="F158" s="88"/>
      <c r="G158" s="53"/>
    </row>
    <row r="159">
      <c r="F159" s="88"/>
      <c r="G159" s="53"/>
    </row>
    <row r="160">
      <c r="F160" s="88"/>
      <c r="G160" s="53"/>
    </row>
    <row r="161">
      <c r="F161" s="88"/>
      <c r="G161" s="53"/>
    </row>
    <row r="162">
      <c r="F162" s="88"/>
      <c r="G162" s="53"/>
    </row>
    <row r="163">
      <c r="F163" s="88"/>
      <c r="G163" s="53"/>
    </row>
    <row r="164">
      <c r="F164" s="88"/>
      <c r="G164" s="53"/>
    </row>
    <row r="165">
      <c r="F165" s="88"/>
      <c r="G165" s="53"/>
    </row>
    <row r="166">
      <c r="F166" s="88"/>
      <c r="G166" s="53"/>
    </row>
    <row r="167">
      <c r="F167" s="88"/>
      <c r="G167" s="53"/>
    </row>
    <row r="168">
      <c r="F168" s="88"/>
      <c r="G168" s="53"/>
    </row>
    <row r="169">
      <c r="F169" s="88"/>
      <c r="G169" s="53"/>
    </row>
    <row r="170">
      <c r="F170" s="88"/>
      <c r="G170" s="53"/>
    </row>
    <row r="171">
      <c r="F171" s="88"/>
      <c r="G171" s="53"/>
    </row>
    <row r="172">
      <c r="F172" s="88"/>
      <c r="G172" s="53"/>
    </row>
    <row r="173">
      <c r="F173" s="88"/>
      <c r="G173" s="53"/>
    </row>
    <row r="174">
      <c r="F174" s="88"/>
      <c r="G174" s="53"/>
    </row>
    <row r="175">
      <c r="F175" s="88"/>
      <c r="G175" s="53"/>
    </row>
    <row r="176">
      <c r="F176" s="88"/>
      <c r="G176" s="53"/>
    </row>
    <row r="177">
      <c r="F177" s="88"/>
      <c r="G177" s="53"/>
    </row>
    <row r="178">
      <c r="F178" s="88"/>
      <c r="G178" s="53"/>
    </row>
    <row r="179">
      <c r="F179" s="88"/>
      <c r="G179" s="53"/>
    </row>
    <row r="180">
      <c r="F180" s="88"/>
      <c r="G180" s="53"/>
    </row>
    <row r="181">
      <c r="F181" s="88"/>
      <c r="G181" s="53"/>
    </row>
    <row r="182">
      <c r="F182" s="88"/>
      <c r="G182" s="53"/>
    </row>
    <row r="183">
      <c r="F183" s="88"/>
      <c r="G183" s="53"/>
    </row>
    <row r="184">
      <c r="F184" s="88"/>
      <c r="G184" s="53"/>
    </row>
    <row r="185">
      <c r="F185" s="88"/>
      <c r="G185" s="53"/>
    </row>
    <row r="186">
      <c r="F186" s="88"/>
      <c r="G186" s="53"/>
    </row>
    <row r="187">
      <c r="F187" s="88"/>
      <c r="G187" s="53"/>
    </row>
    <row r="188">
      <c r="F188" s="88"/>
      <c r="G188" s="53"/>
    </row>
    <row r="189">
      <c r="F189" s="88"/>
      <c r="G189" s="53"/>
    </row>
    <row r="190">
      <c r="F190" s="88"/>
      <c r="G190" s="53"/>
    </row>
    <row r="191">
      <c r="F191" s="88"/>
      <c r="G191" s="53"/>
    </row>
    <row r="192">
      <c r="F192" s="88"/>
      <c r="G192" s="53"/>
    </row>
    <row r="193">
      <c r="F193" s="88"/>
      <c r="G193" s="53"/>
    </row>
    <row r="194">
      <c r="F194" s="88"/>
      <c r="G194" s="53"/>
    </row>
    <row r="195">
      <c r="F195" s="88"/>
      <c r="G195" s="53"/>
    </row>
    <row r="196">
      <c r="F196" s="88"/>
      <c r="G196" s="53"/>
    </row>
    <row r="197">
      <c r="F197" s="88"/>
      <c r="G197" s="53"/>
    </row>
    <row r="198">
      <c r="F198" s="88"/>
      <c r="G198" s="53"/>
    </row>
    <row r="199">
      <c r="F199" s="88"/>
      <c r="G199" s="53"/>
    </row>
    <row r="200">
      <c r="F200" s="88"/>
      <c r="G200" s="53"/>
    </row>
    <row r="201">
      <c r="F201" s="88"/>
      <c r="G201" s="53"/>
    </row>
    <row r="202">
      <c r="F202" s="88"/>
      <c r="G202" s="53"/>
    </row>
    <row r="203">
      <c r="F203" s="88"/>
      <c r="G203" s="53"/>
    </row>
    <row r="204">
      <c r="F204" s="88"/>
      <c r="G204" s="53"/>
    </row>
    <row r="205">
      <c r="F205" s="88"/>
      <c r="G205" s="53"/>
    </row>
    <row r="206">
      <c r="F206" s="88"/>
      <c r="G206" s="53"/>
    </row>
    <row r="207">
      <c r="F207" s="88"/>
      <c r="G207" s="53"/>
    </row>
    <row r="208">
      <c r="F208" s="88"/>
      <c r="G208" s="53"/>
    </row>
    <row r="209">
      <c r="F209" s="88"/>
      <c r="G209" s="53"/>
    </row>
    <row r="210">
      <c r="F210" s="88"/>
      <c r="G210" s="53"/>
    </row>
    <row r="211">
      <c r="F211" s="88"/>
      <c r="G211" s="53"/>
    </row>
    <row r="212">
      <c r="F212" s="88"/>
      <c r="G212" s="53"/>
    </row>
    <row r="213">
      <c r="F213" s="88"/>
      <c r="G213" s="53"/>
    </row>
    <row r="214">
      <c r="F214" s="88"/>
      <c r="G214" s="53"/>
    </row>
    <row r="215">
      <c r="F215" s="88"/>
      <c r="G215" s="53"/>
    </row>
    <row r="216">
      <c r="F216" s="88"/>
      <c r="G216" s="53"/>
    </row>
    <row r="217">
      <c r="F217" s="88"/>
      <c r="G217" s="53"/>
    </row>
    <row r="218">
      <c r="F218" s="88"/>
      <c r="G218" s="53"/>
    </row>
    <row r="219">
      <c r="F219" s="88"/>
      <c r="G219" s="53"/>
    </row>
    <row r="220">
      <c r="F220" s="88"/>
      <c r="G220" s="53"/>
    </row>
    <row r="221">
      <c r="F221" s="88"/>
      <c r="G221" s="53"/>
    </row>
    <row r="222">
      <c r="F222" s="88"/>
      <c r="G222" s="53"/>
    </row>
    <row r="223">
      <c r="F223" s="88"/>
      <c r="G223" s="53"/>
    </row>
    <row r="224">
      <c r="F224" s="88"/>
      <c r="G224" s="53"/>
    </row>
    <row r="225">
      <c r="F225" s="88"/>
      <c r="G225" s="53"/>
    </row>
    <row r="226">
      <c r="F226" s="88"/>
      <c r="G226" s="53"/>
    </row>
    <row r="227">
      <c r="F227" s="88"/>
      <c r="G227" s="53"/>
    </row>
    <row r="228">
      <c r="F228" s="88"/>
      <c r="G228" s="53"/>
    </row>
    <row r="229">
      <c r="F229" s="88"/>
      <c r="G229" s="53"/>
    </row>
    <row r="230">
      <c r="F230" s="88"/>
      <c r="G230" s="53"/>
    </row>
    <row r="231">
      <c r="F231" s="88"/>
      <c r="G231" s="53"/>
    </row>
    <row r="232">
      <c r="F232" s="88"/>
      <c r="G232" s="53"/>
    </row>
    <row r="233">
      <c r="F233" s="88"/>
      <c r="G233" s="53"/>
    </row>
    <row r="234">
      <c r="F234" s="88"/>
      <c r="G234" s="53"/>
    </row>
    <row r="235">
      <c r="F235" s="88"/>
      <c r="G235" s="53"/>
    </row>
    <row r="236">
      <c r="F236" s="88"/>
      <c r="G236" s="53"/>
    </row>
    <row r="237">
      <c r="F237" s="88"/>
      <c r="G237" s="53"/>
    </row>
    <row r="238">
      <c r="F238" s="88"/>
      <c r="G238" s="53"/>
    </row>
    <row r="239">
      <c r="F239" s="88"/>
      <c r="G239" s="53"/>
    </row>
    <row r="240">
      <c r="F240" s="88"/>
      <c r="G240" s="53"/>
    </row>
    <row r="241">
      <c r="F241" s="88"/>
      <c r="G241" s="53"/>
    </row>
    <row r="242">
      <c r="F242" s="88"/>
      <c r="G242" s="53"/>
    </row>
    <row r="243">
      <c r="F243" s="88"/>
      <c r="G243" s="53"/>
    </row>
    <row r="244">
      <c r="F244" s="88"/>
      <c r="G244" s="53"/>
    </row>
    <row r="245">
      <c r="F245" s="88"/>
      <c r="G245" s="53"/>
    </row>
    <row r="246">
      <c r="F246" s="88"/>
      <c r="G246" s="53"/>
    </row>
    <row r="247">
      <c r="F247" s="88"/>
      <c r="G247" s="53"/>
    </row>
    <row r="248">
      <c r="F248" s="88"/>
      <c r="G248" s="53"/>
    </row>
    <row r="249">
      <c r="F249" s="88"/>
      <c r="G249" s="53"/>
    </row>
    <row r="250">
      <c r="F250" s="88"/>
      <c r="G250" s="53"/>
    </row>
    <row r="251">
      <c r="F251" s="88"/>
      <c r="G251" s="53"/>
    </row>
    <row r="252">
      <c r="F252" s="88"/>
      <c r="G252" s="53"/>
    </row>
    <row r="253">
      <c r="F253" s="88"/>
      <c r="G253" s="53"/>
    </row>
    <row r="254">
      <c r="F254" s="88"/>
      <c r="G254" s="53"/>
    </row>
    <row r="255">
      <c r="F255" s="88"/>
      <c r="G255" s="53"/>
    </row>
    <row r="256">
      <c r="F256" s="88"/>
      <c r="G256" s="53"/>
    </row>
    <row r="257">
      <c r="F257" s="88"/>
      <c r="G257" s="53"/>
    </row>
    <row r="258">
      <c r="F258" s="88"/>
      <c r="G258" s="53"/>
    </row>
    <row r="259">
      <c r="F259" s="88"/>
      <c r="G259" s="53"/>
    </row>
    <row r="260">
      <c r="F260" s="88"/>
      <c r="G260" s="53"/>
    </row>
    <row r="261">
      <c r="F261" s="88"/>
      <c r="G261" s="53"/>
    </row>
    <row r="262">
      <c r="F262" s="88"/>
      <c r="G262" s="53"/>
    </row>
    <row r="263">
      <c r="F263" s="88"/>
      <c r="G263" s="53"/>
    </row>
    <row r="264">
      <c r="F264" s="88"/>
      <c r="G264" s="53"/>
    </row>
    <row r="265">
      <c r="F265" s="88"/>
      <c r="G265" s="53"/>
    </row>
    <row r="266">
      <c r="F266" s="88"/>
      <c r="G266" s="53"/>
    </row>
    <row r="267">
      <c r="F267" s="88"/>
      <c r="G267" s="53"/>
    </row>
    <row r="268">
      <c r="F268" s="88"/>
      <c r="G268" s="53"/>
    </row>
    <row r="269">
      <c r="F269" s="88"/>
      <c r="G269" s="53"/>
    </row>
    <row r="270">
      <c r="F270" s="88"/>
      <c r="G270" s="53"/>
    </row>
    <row r="271">
      <c r="F271" s="88"/>
      <c r="G271" s="53"/>
    </row>
    <row r="272">
      <c r="F272" s="88"/>
      <c r="G272" s="53"/>
    </row>
    <row r="273">
      <c r="F273" s="88"/>
      <c r="G273" s="53"/>
    </row>
    <row r="274">
      <c r="F274" s="88"/>
      <c r="G274" s="53"/>
    </row>
    <row r="275">
      <c r="F275" s="88"/>
      <c r="G275" s="53"/>
    </row>
    <row r="276">
      <c r="F276" s="88"/>
      <c r="G276" s="53"/>
    </row>
    <row r="277">
      <c r="F277" s="88"/>
      <c r="G277" s="53"/>
    </row>
    <row r="278">
      <c r="F278" s="88"/>
      <c r="G278" s="53"/>
    </row>
    <row r="279">
      <c r="F279" s="88"/>
      <c r="G279" s="53"/>
    </row>
    <row r="280">
      <c r="F280" s="88"/>
      <c r="G280" s="53"/>
    </row>
    <row r="281">
      <c r="F281" s="88"/>
      <c r="G281" s="53"/>
    </row>
    <row r="282">
      <c r="F282" s="88"/>
      <c r="G282" s="53"/>
    </row>
    <row r="283">
      <c r="F283" s="88"/>
      <c r="G283" s="53"/>
    </row>
    <row r="284">
      <c r="F284" s="88"/>
      <c r="G284" s="53"/>
    </row>
    <row r="285">
      <c r="F285" s="88"/>
      <c r="G285" s="53"/>
    </row>
    <row r="286">
      <c r="F286" s="88"/>
      <c r="G286" s="53"/>
    </row>
    <row r="287">
      <c r="F287" s="88"/>
      <c r="G287" s="53"/>
    </row>
    <row r="288">
      <c r="F288" s="88"/>
      <c r="G288" s="53"/>
    </row>
    <row r="289">
      <c r="F289" s="88"/>
      <c r="G289" s="53"/>
    </row>
    <row r="290">
      <c r="F290" s="88"/>
      <c r="G290" s="53"/>
    </row>
    <row r="291">
      <c r="F291" s="88"/>
      <c r="G291" s="53"/>
    </row>
    <row r="292">
      <c r="F292" s="88"/>
      <c r="G292" s="53"/>
    </row>
    <row r="293">
      <c r="F293" s="88"/>
      <c r="G293" s="53"/>
    </row>
    <row r="294">
      <c r="F294" s="88"/>
      <c r="G294" s="53"/>
    </row>
    <row r="295">
      <c r="F295" s="88"/>
      <c r="G295" s="53"/>
    </row>
    <row r="296">
      <c r="F296" s="88"/>
      <c r="G296" s="53"/>
    </row>
    <row r="297">
      <c r="F297" s="88"/>
      <c r="G297" s="53"/>
    </row>
    <row r="298">
      <c r="F298" s="88"/>
      <c r="G298" s="53"/>
    </row>
    <row r="299">
      <c r="F299" s="88"/>
      <c r="G299" s="53"/>
    </row>
    <row r="300">
      <c r="F300" s="88"/>
      <c r="G300" s="53"/>
    </row>
    <row r="301">
      <c r="F301" s="88"/>
      <c r="G301" s="53"/>
    </row>
    <row r="302">
      <c r="F302" s="88"/>
      <c r="G302" s="53"/>
    </row>
    <row r="303">
      <c r="F303" s="88"/>
      <c r="G303" s="53"/>
    </row>
    <row r="304">
      <c r="F304" s="88"/>
      <c r="G304" s="53"/>
    </row>
    <row r="305">
      <c r="F305" s="88"/>
      <c r="G305" s="53"/>
    </row>
    <row r="306">
      <c r="F306" s="88"/>
      <c r="G306" s="53"/>
    </row>
    <row r="307">
      <c r="F307" s="88"/>
      <c r="G307" s="53"/>
    </row>
    <row r="308">
      <c r="F308" s="88"/>
      <c r="G308" s="53"/>
    </row>
    <row r="309">
      <c r="F309" s="88"/>
      <c r="G309" s="53"/>
    </row>
    <row r="310">
      <c r="F310" s="88"/>
      <c r="G310" s="53"/>
    </row>
    <row r="311">
      <c r="F311" s="88"/>
      <c r="G311" s="53"/>
    </row>
    <row r="312">
      <c r="F312" s="88"/>
      <c r="G312" s="53"/>
    </row>
    <row r="313">
      <c r="F313" s="88"/>
      <c r="G313" s="53"/>
    </row>
    <row r="314">
      <c r="F314" s="88"/>
      <c r="G314" s="53"/>
    </row>
    <row r="315">
      <c r="F315" s="88"/>
      <c r="G315" s="53"/>
    </row>
    <row r="316">
      <c r="F316" s="88"/>
      <c r="G316" s="53"/>
    </row>
    <row r="317">
      <c r="F317" s="88"/>
      <c r="G317" s="53"/>
    </row>
    <row r="318">
      <c r="F318" s="88"/>
      <c r="G318" s="53"/>
    </row>
    <row r="319">
      <c r="F319" s="88"/>
      <c r="G319" s="53"/>
    </row>
    <row r="320">
      <c r="F320" s="88"/>
      <c r="G320" s="53"/>
    </row>
    <row r="321">
      <c r="F321" s="88"/>
      <c r="G321" s="53"/>
    </row>
    <row r="322">
      <c r="F322" s="88"/>
      <c r="G322" s="53"/>
    </row>
    <row r="323">
      <c r="F323" s="88"/>
      <c r="G323" s="53"/>
    </row>
    <row r="324">
      <c r="F324" s="88"/>
      <c r="G324" s="53"/>
    </row>
    <row r="325">
      <c r="F325" s="88"/>
      <c r="G325" s="53"/>
    </row>
    <row r="326">
      <c r="F326" s="88"/>
      <c r="G326" s="53"/>
    </row>
    <row r="327">
      <c r="F327" s="88"/>
      <c r="G327" s="53"/>
    </row>
    <row r="328">
      <c r="F328" s="88"/>
      <c r="G328" s="53"/>
    </row>
    <row r="329">
      <c r="F329" s="88"/>
      <c r="G329" s="53"/>
    </row>
    <row r="330">
      <c r="F330" s="88"/>
      <c r="G330" s="53"/>
    </row>
    <row r="331">
      <c r="F331" s="88"/>
      <c r="G331" s="53"/>
    </row>
    <row r="332">
      <c r="F332" s="88"/>
      <c r="G332" s="53"/>
    </row>
    <row r="333">
      <c r="F333" s="88"/>
      <c r="G333" s="53"/>
    </row>
    <row r="334">
      <c r="F334" s="88"/>
      <c r="G334" s="53"/>
    </row>
    <row r="335">
      <c r="F335" s="88"/>
      <c r="G335" s="53"/>
    </row>
    <row r="336">
      <c r="F336" s="88"/>
      <c r="G336" s="53"/>
    </row>
    <row r="337">
      <c r="F337" s="88"/>
      <c r="G337" s="53"/>
    </row>
    <row r="338">
      <c r="F338" s="88"/>
      <c r="G338" s="53"/>
    </row>
    <row r="339">
      <c r="F339" s="88"/>
      <c r="G339" s="53"/>
    </row>
    <row r="340">
      <c r="F340" s="88"/>
      <c r="G340" s="53"/>
    </row>
    <row r="341">
      <c r="F341" s="88"/>
      <c r="G341" s="53"/>
    </row>
    <row r="342">
      <c r="F342" s="88"/>
      <c r="G342" s="53"/>
    </row>
    <row r="343">
      <c r="F343" s="88"/>
      <c r="G343" s="53"/>
    </row>
    <row r="344">
      <c r="F344" s="88"/>
      <c r="G344" s="53"/>
    </row>
    <row r="345">
      <c r="F345" s="88"/>
      <c r="G345" s="53"/>
    </row>
    <row r="346">
      <c r="F346" s="88"/>
      <c r="G346" s="53"/>
    </row>
    <row r="347">
      <c r="F347" s="88"/>
      <c r="G347" s="53"/>
    </row>
    <row r="348">
      <c r="F348" s="88"/>
      <c r="G348" s="53"/>
    </row>
    <row r="349">
      <c r="F349" s="88"/>
      <c r="G349" s="53"/>
    </row>
    <row r="350">
      <c r="F350" s="88"/>
      <c r="G350" s="53"/>
    </row>
    <row r="351">
      <c r="F351" s="88"/>
      <c r="G351" s="53"/>
    </row>
    <row r="352">
      <c r="F352" s="88"/>
      <c r="G352" s="53"/>
    </row>
    <row r="353">
      <c r="F353" s="88"/>
      <c r="G353" s="53"/>
    </row>
    <row r="354">
      <c r="F354" s="88"/>
      <c r="G354" s="53"/>
    </row>
    <row r="355">
      <c r="F355" s="88"/>
      <c r="G355" s="53"/>
    </row>
    <row r="356">
      <c r="F356" s="88"/>
      <c r="G356" s="53"/>
    </row>
    <row r="357">
      <c r="F357" s="88"/>
      <c r="G357" s="53"/>
    </row>
    <row r="358">
      <c r="F358" s="88"/>
      <c r="G358" s="53"/>
    </row>
    <row r="359">
      <c r="F359" s="88"/>
      <c r="G359" s="53"/>
    </row>
    <row r="360">
      <c r="F360" s="88"/>
      <c r="G360" s="53"/>
    </row>
    <row r="361">
      <c r="F361" s="88"/>
      <c r="G361" s="53"/>
    </row>
    <row r="362">
      <c r="F362" s="88"/>
      <c r="G362" s="53"/>
    </row>
    <row r="363">
      <c r="F363" s="88"/>
      <c r="G363" s="53"/>
    </row>
    <row r="364">
      <c r="F364" s="88"/>
      <c r="G364" s="53"/>
    </row>
    <row r="365">
      <c r="F365" s="88"/>
      <c r="G365" s="53"/>
    </row>
    <row r="366">
      <c r="F366" s="88"/>
      <c r="G366" s="53"/>
    </row>
    <row r="367">
      <c r="F367" s="88"/>
      <c r="G367" s="53"/>
    </row>
    <row r="368">
      <c r="F368" s="88"/>
      <c r="G368" s="53"/>
    </row>
    <row r="369">
      <c r="F369" s="88"/>
      <c r="G369" s="53"/>
    </row>
    <row r="370">
      <c r="F370" s="88"/>
      <c r="G370" s="53"/>
    </row>
    <row r="371">
      <c r="F371" s="88"/>
      <c r="G371" s="53"/>
    </row>
    <row r="372">
      <c r="F372" s="88"/>
      <c r="G372" s="53"/>
    </row>
    <row r="373">
      <c r="F373" s="88"/>
      <c r="G373" s="53"/>
    </row>
    <row r="374">
      <c r="F374" s="88"/>
      <c r="G374" s="53"/>
    </row>
    <row r="375">
      <c r="F375" s="88"/>
      <c r="G375" s="53"/>
    </row>
    <row r="376">
      <c r="F376" s="88"/>
      <c r="G376" s="53"/>
    </row>
    <row r="377">
      <c r="F377" s="88"/>
      <c r="G377" s="53"/>
    </row>
    <row r="378">
      <c r="F378" s="88"/>
      <c r="G378" s="53"/>
    </row>
    <row r="379">
      <c r="F379" s="88"/>
      <c r="G379" s="53"/>
    </row>
    <row r="380">
      <c r="F380" s="88"/>
      <c r="G380" s="53"/>
    </row>
    <row r="381">
      <c r="F381" s="88"/>
      <c r="G381" s="53"/>
    </row>
    <row r="382">
      <c r="F382" s="88"/>
      <c r="G382" s="53"/>
    </row>
    <row r="383">
      <c r="F383" s="88"/>
      <c r="G383" s="53"/>
    </row>
    <row r="384">
      <c r="F384" s="88"/>
      <c r="G384" s="53"/>
    </row>
    <row r="385">
      <c r="F385" s="88"/>
      <c r="G385" s="53"/>
    </row>
    <row r="386">
      <c r="F386" s="88"/>
      <c r="G386" s="53"/>
    </row>
    <row r="387">
      <c r="F387" s="88"/>
      <c r="G387" s="53"/>
    </row>
    <row r="388">
      <c r="F388" s="88"/>
      <c r="G388" s="53"/>
    </row>
    <row r="389">
      <c r="F389" s="88"/>
      <c r="G389" s="53"/>
    </row>
    <row r="390">
      <c r="F390" s="88"/>
      <c r="G390" s="53"/>
    </row>
    <row r="391">
      <c r="F391" s="88"/>
      <c r="G391" s="53"/>
    </row>
    <row r="392">
      <c r="F392" s="88"/>
      <c r="G392" s="53"/>
    </row>
    <row r="393">
      <c r="F393" s="88"/>
      <c r="G393" s="53"/>
    </row>
    <row r="394">
      <c r="F394" s="88"/>
      <c r="G394" s="53"/>
    </row>
    <row r="395">
      <c r="F395" s="88"/>
      <c r="G395" s="53"/>
    </row>
    <row r="396">
      <c r="F396" s="88"/>
      <c r="G396" s="53"/>
    </row>
    <row r="397">
      <c r="F397" s="88"/>
      <c r="G397" s="53"/>
    </row>
    <row r="398">
      <c r="F398" s="88"/>
      <c r="G398" s="53"/>
    </row>
    <row r="399">
      <c r="F399" s="88"/>
      <c r="G399" s="53"/>
    </row>
    <row r="400">
      <c r="F400" s="88"/>
      <c r="G400" s="53"/>
    </row>
    <row r="401">
      <c r="F401" s="88"/>
      <c r="G401" s="53"/>
    </row>
    <row r="402">
      <c r="F402" s="88"/>
      <c r="G402" s="53"/>
    </row>
    <row r="403">
      <c r="F403" s="88"/>
      <c r="G403" s="53"/>
    </row>
    <row r="404">
      <c r="F404" s="88"/>
      <c r="G404" s="53"/>
    </row>
    <row r="405">
      <c r="F405" s="88"/>
      <c r="G405" s="53"/>
    </row>
    <row r="406">
      <c r="F406" s="88"/>
      <c r="G406" s="53"/>
    </row>
    <row r="407">
      <c r="F407" s="88"/>
      <c r="G407" s="53"/>
    </row>
    <row r="408">
      <c r="F408" s="88"/>
      <c r="G408" s="53"/>
    </row>
    <row r="409">
      <c r="F409" s="88"/>
      <c r="G409" s="53"/>
    </row>
    <row r="410">
      <c r="F410" s="88"/>
      <c r="G410" s="53"/>
    </row>
    <row r="411">
      <c r="F411" s="88"/>
      <c r="G411" s="53"/>
    </row>
    <row r="412">
      <c r="F412" s="88"/>
      <c r="G412" s="53"/>
    </row>
    <row r="413">
      <c r="F413" s="88"/>
      <c r="G413" s="53"/>
    </row>
    <row r="414">
      <c r="F414" s="88"/>
      <c r="G414" s="53"/>
    </row>
    <row r="415">
      <c r="F415" s="88"/>
      <c r="G415" s="53"/>
    </row>
    <row r="416">
      <c r="F416" s="88"/>
      <c r="G416" s="53"/>
    </row>
    <row r="417">
      <c r="F417" s="88"/>
      <c r="G417" s="53"/>
    </row>
    <row r="418">
      <c r="F418" s="88"/>
      <c r="G418" s="53"/>
    </row>
    <row r="419">
      <c r="F419" s="88"/>
      <c r="G419" s="53"/>
    </row>
    <row r="420">
      <c r="F420" s="88"/>
      <c r="G420" s="53"/>
    </row>
    <row r="421">
      <c r="F421" s="88"/>
      <c r="G421" s="53"/>
    </row>
    <row r="422">
      <c r="F422" s="88"/>
      <c r="G422" s="53"/>
    </row>
    <row r="423">
      <c r="F423" s="88"/>
      <c r="G423" s="53"/>
    </row>
    <row r="424">
      <c r="F424" s="88"/>
      <c r="G424" s="53"/>
    </row>
    <row r="425">
      <c r="F425" s="88"/>
      <c r="G425" s="53"/>
    </row>
    <row r="426">
      <c r="F426" s="88"/>
      <c r="G426" s="53"/>
    </row>
    <row r="427">
      <c r="F427" s="88"/>
      <c r="G427" s="53"/>
    </row>
    <row r="428">
      <c r="F428" s="88"/>
      <c r="G428" s="53"/>
    </row>
    <row r="429">
      <c r="F429" s="88"/>
      <c r="G429" s="53"/>
    </row>
    <row r="430">
      <c r="F430" s="88"/>
      <c r="G430" s="53"/>
    </row>
    <row r="431">
      <c r="F431" s="88"/>
      <c r="G431" s="53"/>
    </row>
    <row r="432">
      <c r="F432" s="88"/>
      <c r="G432" s="53"/>
    </row>
    <row r="433">
      <c r="F433" s="88"/>
      <c r="G433" s="53"/>
    </row>
    <row r="434">
      <c r="F434" s="88"/>
      <c r="G434" s="53"/>
    </row>
    <row r="435">
      <c r="F435" s="88"/>
      <c r="G435" s="53"/>
    </row>
    <row r="436">
      <c r="F436" s="88"/>
      <c r="G436" s="53"/>
    </row>
    <row r="437">
      <c r="F437" s="88"/>
      <c r="G437" s="53"/>
    </row>
    <row r="438">
      <c r="F438" s="88"/>
      <c r="G438" s="53"/>
    </row>
    <row r="439">
      <c r="F439" s="88"/>
      <c r="G439" s="53"/>
    </row>
    <row r="440">
      <c r="F440" s="88"/>
      <c r="G440" s="53"/>
    </row>
    <row r="441">
      <c r="F441" s="88"/>
      <c r="G441" s="53"/>
    </row>
    <row r="442">
      <c r="F442" s="88"/>
      <c r="G442" s="53"/>
    </row>
    <row r="443">
      <c r="F443" s="88"/>
      <c r="G443" s="53"/>
    </row>
    <row r="444">
      <c r="F444" s="88"/>
      <c r="G444" s="53"/>
    </row>
    <row r="445">
      <c r="F445" s="88"/>
      <c r="G445" s="53"/>
    </row>
    <row r="446">
      <c r="F446" s="88"/>
      <c r="G446" s="53"/>
    </row>
    <row r="447">
      <c r="F447" s="88"/>
      <c r="G447" s="53"/>
    </row>
    <row r="448">
      <c r="F448" s="88"/>
      <c r="G448" s="53"/>
    </row>
    <row r="449">
      <c r="F449" s="88"/>
      <c r="G449" s="53"/>
    </row>
    <row r="450">
      <c r="F450" s="88"/>
      <c r="G450" s="53"/>
    </row>
    <row r="451">
      <c r="F451" s="88"/>
      <c r="G451" s="53"/>
    </row>
    <row r="452">
      <c r="F452" s="88"/>
      <c r="G452" s="53"/>
    </row>
    <row r="453">
      <c r="F453" s="88"/>
      <c r="G453" s="53"/>
    </row>
    <row r="454">
      <c r="F454" s="88"/>
      <c r="G454" s="53"/>
    </row>
    <row r="455">
      <c r="F455" s="88"/>
      <c r="G455" s="53"/>
    </row>
    <row r="456">
      <c r="F456" s="88"/>
      <c r="G456" s="53"/>
    </row>
    <row r="457">
      <c r="F457" s="88"/>
      <c r="G457" s="53"/>
    </row>
    <row r="458">
      <c r="F458" s="88"/>
      <c r="G458" s="53"/>
    </row>
    <row r="459">
      <c r="F459" s="88"/>
      <c r="G459" s="53"/>
    </row>
    <row r="460">
      <c r="F460" s="88"/>
      <c r="G460" s="53"/>
    </row>
    <row r="461">
      <c r="F461" s="88"/>
      <c r="G461" s="53"/>
    </row>
    <row r="462">
      <c r="F462" s="88"/>
      <c r="G462" s="53"/>
    </row>
    <row r="463">
      <c r="F463" s="88"/>
      <c r="G463" s="53"/>
    </row>
    <row r="464">
      <c r="F464" s="88"/>
      <c r="G464" s="53"/>
    </row>
    <row r="465">
      <c r="F465" s="88"/>
      <c r="G465" s="53"/>
    </row>
    <row r="466">
      <c r="F466" s="88"/>
      <c r="G466" s="53"/>
    </row>
    <row r="467">
      <c r="F467" s="88"/>
      <c r="G467" s="53"/>
    </row>
    <row r="468">
      <c r="F468" s="88"/>
      <c r="G468" s="53"/>
    </row>
    <row r="469">
      <c r="F469" s="88"/>
      <c r="G469" s="53"/>
    </row>
    <row r="470">
      <c r="F470" s="88"/>
      <c r="G470" s="53"/>
    </row>
    <row r="471">
      <c r="F471" s="88"/>
      <c r="G471" s="53"/>
    </row>
    <row r="472">
      <c r="F472" s="88"/>
      <c r="G472" s="53"/>
    </row>
    <row r="473">
      <c r="F473" s="88"/>
      <c r="G473" s="53"/>
    </row>
    <row r="474">
      <c r="F474" s="88"/>
      <c r="G474" s="53"/>
    </row>
    <row r="475">
      <c r="F475" s="88"/>
      <c r="G475" s="53"/>
    </row>
    <row r="476">
      <c r="F476" s="88"/>
      <c r="G476" s="53"/>
    </row>
    <row r="477">
      <c r="F477" s="88"/>
      <c r="G477" s="53"/>
    </row>
    <row r="478">
      <c r="F478" s="88"/>
      <c r="G478" s="53"/>
    </row>
    <row r="479">
      <c r="F479" s="88"/>
      <c r="G479" s="53"/>
    </row>
    <row r="480">
      <c r="F480" s="88"/>
      <c r="G480" s="53"/>
    </row>
    <row r="481">
      <c r="F481" s="88"/>
      <c r="G481" s="53"/>
    </row>
    <row r="482">
      <c r="F482" s="88"/>
      <c r="G482" s="53"/>
    </row>
    <row r="483">
      <c r="F483" s="88"/>
      <c r="G483" s="53"/>
    </row>
    <row r="484">
      <c r="F484" s="88"/>
      <c r="G484" s="53"/>
    </row>
    <row r="485">
      <c r="F485" s="88"/>
      <c r="G485" s="53"/>
    </row>
    <row r="486">
      <c r="F486" s="88"/>
      <c r="G486" s="53"/>
    </row>
    <row r="487">
      <c r="F487" s="88"/>
      <c r="G487" s="53"/>
    </row>
    <row r="488">
      <c r="F488" s="88"/>
      <c r="G488" s="53"/>
    </row>
    <row r="489">
      <c r="F489" s="88"/>
      <c r="G489" s="53"/>
    </row>
    <row r="490">
      <c r="F490" s="88"/>
      <c r="G490" s="53"/>
    </row>
    <row r="491">
      <c r="F491" s="88"/>
      <c r="G491" s="53"/>
    </row>
    <row r="492">
      <c r="F492" s="88"/>
      <c r="G492" s="53"/>
    </row>
    <row r="493">
      <c r="F493" s="88"/>
      <c r="G493" s="53"/>
    </row>
    <row r="494">
      <c r="F494" s="88"/>
      <c r="G494" s="53"/>
    </row>
    <row r="495">
      <c r="F495" s="88"/>
      <c r="G495" s="53"/>
    </row>
    <row r="496">
      <c r="F496" s="88"/>
      <c r="G496" s="53"/>
    </row>
    <row r="497">
      <c r="F497" s="88"/>
      <c r="G497" s="53"/>
    </row>
    <row r="498">
      <c r="F498" s="88"/>
      <c r="G498" s="53"/>
    </row>
    <row r="499">
      <c r="F499" s="88"/>
      <c r="G499" s="53"/>
    </row>
    <row r="500">
      <c r="F500" s="88"/>
      <c r="G500" s="53"/>
    </row>
    <row r="501">
      <c r="F501" s="88"/>
      <c r="G501" s="53"/>
    </row>
    <row r="502">
      <c r="F502" s="88"/>
      <c r="G502" s="53"/>
    </row>
    <row r="503">
      <c r="F503" s="88"/>
      <c r="G503" s="53"/>
    </row>
    <row r="504">
      <c r="F504" s="88"/>
      <c r="G504" s="53"/>
    </row>
    <row r="505">
      <c r="F505" s="88"/>
      <c r="G505" s="53"/>
    </row>
    <row r="506">
      <c r="F506" s="88"/>
      <c r="G506" s="53"/>
    </row>
    <row r="507">
      <c r="F507" s="88"/>
      <c r="G507" s="53"/>
    </row>
    <row r="508">
      <c r="F508" s="88"/>
      <c r="G508" s="53"/>
    </row>
    <row r="509">
      <c r="F509" s="88"/>
      <c r="G509" s="53"/>
    </row>
    <row r="510">
      <c r="F510" s="88"/>
      <c r="G510" s="53"/>
    </row>
    <row r="511">
      <c r="F511" s="88"/>
      <c r="G511" s="53"/>
    </row>
    <row r="512">
      <c r="F512" s="88"/>
      <c r="G512" s="53"/>
    </row>
    <row r="513">
      <c r="F513" s="88"/>
      <c r="G513" s="53"/>
    </row>
    <row r="514">
      <c r="F514" s="88"/>
      <c r="G514" s="53"/>
    </row>
    <row r="515">
      <c r="F515" s="88"/>
      <c r="G515" s="53"/>
    </row>
    <row r="516">
      <c r="F516" s="88"/>
      <c r="G516" s="53"/>
    </row>
    <row r="517">
      <c r="F517" s="88"/>
      <c r="G517" s="53"/>
    </row>
    <row r="518">
      <c r="F518" s="88"/>
      <c r="G518" s="53"/>
    </row>
    <row r="519">
      <c r="F519" s="88"/>
      <c r="G519" s="53"/>
    </row>
    <row r="520">
      <c r="F520" s="88"/>
      <c r="G520" s="53"/>
    </row>
    <row r="521">
      <c r="F521" s="88"/>
      <c r="G521" s="53"/>
    </row>
    <row r="522">
      <c r="F522" s="88"/>
      <c r="G522" s="53"/>
    </row>
    <row r="523">
      <c r="F523" s="88"/>
      <c r="G523" s="53"/>
    </row>
    <row r="524">
      <c r="F524" s="88"/>
      <c r="G524" s="53"/>
    </row>
    <row r="525">
      <c r="F525" s="88"/>
      <c r="G525" s="53"/>
    </row>
    <row r="526">
      <c r="F526" s="88"/>
      <c r="G526" s="53"/>
    </row>
    <row r="527">
      <c r="F527" s="88"/>
      <c r="G527" s="53"/>
    </row>
    <row r="528">
      <c r="F528" s="88"/>
      <c r="G528" s="53"/>
    </row>
    <row r="529">
      <c r="F529" s="88"/>
      <c r="G529" s="53"/>
    </row>
    <row r="530">
      <c r="F530" s="88"/>
      <c r="G530" s="53"/>
    </row>
    <row r="531">
      <c r="F531" s="88"/>
      <c r="G531" s="53"/>
    </row>
    <row r="532">
      <c r="F532" s="88"/>
      <c r="G532" s="53"/>
    </row>
    <row r="533">
      <c r="F533" s="88"/>
      <c r="G533" s="53"/>
    </row>
    <row r="534">
      <c r="F534" s="88"/>
      <c r="G534" s="53"/>
    </row>
    <row r="535">
      <c r="F535" s="88"/>
      <c r="G535" s="53"/>
    </row>
    <row r="536">
      <c r="F536" s="88"/>
      <c r="G536" s="53"/>
    </row>
    <row r="537">
      <c r="F537" s="88"/>
      <c r="G537" s="53"/>
    </row>
    <row r="538">
      <c r="F538" s="88"/>
      <c r="G538" s="53"/>
    </row>
    <row r="539">
      <c r="F539" s="88"/>
      <c r="G539" s="53"/>
    </row>
    <row r="540">
      <c r="F540" s="88"/>
      <c r="G540" s="53"/>
    </row>
    <row r="541">
      <c r="F541" s="88"/>
      <c r="G541" s="53"/>
    </row>
    <row r="542">
      <c r="F542" s="88"/>
      <c r="G542" s="53"/>
    </row>
    <row r="543">
      <c r="F543" s="88"/>
      <c r="G543" s="53"/>
    </row>
    <row r="544">
      <c r="F544" s="88"/>
      <c r="G544" s="53"/>
    </row>
    <row r="545">
      <c r="F545" s="88"/>
      <c r="G545" s="53"/>
    </row>
    <row r="546">
      <c r="F546" s="88"/>
      <c r="G546" s="53"/>
    </row>
    <row r="547">
      <c r="F547" s="88"/>
      <c r="G547" s="53"/>
    </row>
    <row r="548">
      <c r="F548" s="88"/>
      <c r="G548" s="53"/>
    </row>
    <row r="549">
      <c r="F549" s="88"/>
      <c r="G549" s="53"/>
    </row>
    <row r="550">
      <c r="F550" s="88"/>
      <c r="G550" s="53"/>
    </row>
    <row r="551">
      <c r="F551" s="88"/>
      <c r="G551" s="53"/>
    </row>
    <row r="552">
      <c r="F552" s="88"/>
      <c r="G552" s="53"/>
    </row>
    <row r="553">
      <c r="F553" s="88"/>
      <c r="G553" s="53"/>
    </row>
    <row r="554">
      <c r="F554" s="88"/>
      <c r="G554" s="53"/>
    </row>
    <row r="555">
      <c r="F555" s="88"/>
      <c r="G555" s="53"/>
    </row>
    <row r="556">
      <c r="F556" s="88"/>
      <c r="G556" s="53"/>
    </row>
    <row r="557">
      <c r="F557" s="88"/>
      <c r="G557" s="53"/>
    </row>
    <row r="558">
      <c r="F558" s="88"/>
      <c r="G558" s="53"/>
    </row>
    <row r="559">
      <c r="F559" s="88"/>
      <c r="G559" s="53"/>
    </row>
    <row r="560">
      <c r="F560" s="88"/>
      <c r="G560" s="53"/>
    </row>
    <row r="561">
      <c r="F561" s="88"/>
      <c r="G561" s="53"/>
    </row>
    <row r="562">
      <c r="F562" s="88"/>
      <c r="G562" s="53"/>
    </row>
    <row r="563">
      <c r="F563" s="88"/>
      <c r="G563" s="53"/>
    </row>
    <row r="564">
      <c r="F564" s="88"/>
      <c r="G564" s="53"/>
    </row>
    <row r="565">
      <c r="F565" s="88"/>
      <c r="G565" s="53"/>
    </row>
    <row r="566">
      <c r="F566" s="88"/>
      <c r="G566" s="53"/>
    </row>
    <row r="567">
      <c r="F567" s="88"/>
      <c r="G567" s="53"/>
    </row>
    <row r="568">
      <c r="F568" s="88"/>
      <c r="G568" s="53"/>
    </row>
    <row r="569">
      <c r="F569" s="88"/>
      <c r="G569" s="53"/>
    </row>
    <row r="570">
      <c r="F570" s="88"/>
      <c r="G570" s="53"/>
    </row>
    <row r="571">
      <c r="F571" s="88"/>
      <c r="G571" s="53"/>
    </row>
    <row r="572">
      <c r="F572" s="88"/>
      <c r="G572" s="53"/>
    </row>
    <row r="573">
      <c r="F573" s="88"/>
      <c r="G573" s="53"/>
    </row>
    <row r="574">
      <c r="F574" s="88"/>
      <c r="G574" s="53"/>
    </row>
    <row r="575">
      <c r="F575" s="88"/>
      <c r="G575" s="53"/>
    </row>
    <row r="576">
      <c r="F576" s="88"/>
      <c r="G576" s="53"/>
    </row>
    <row r="577">
      <c r="F577" s="88"/>
      <c r="G577" s="53"/>
    </row>
    <row r="578">
      <c r="F578" s="88"/>
      <c r="G578" s="53"/>
    </row>
    <row r="579">
      <c r="F579" s="88"/>
      <c r="G579" s="53"/>
    </row>
    <row r="580">
      <c r="F580" s="88"/>
      <c r="G580" s="53"/>
    </row>
    <row r="581">
      <c r="F581" s="88"/>
      <c r="G581" s="53"/>
    </row>
    <row r="582">
      <c r="F582" s="88"/>
      <c r="G582" s="53"/>
    </row>
    <row r="583">
      <c r="F583" s="88"/>
      <c r="G583" s="53"/>
    </row>
    <row r="584">
      <c r="F584" s="88"/>
      <c r="G584" s="53"/>
    </row>
    <row r="585">
      <c r="F585" s="88"/>
      <c r="G585" s="53"/>
    </row>
    <row r="586">
      <c r="F586" s="88"/>
      <c r="G586" s="53"/>
    </row>
    <row r="587">
      <c r="F587" s="88"/>
      <c r="G587" s="53"/>
    </row>
    <row r="588">
      <c r="F588" s="88"/>
      <c r="G588" s="53"/>
    </row>
    <row r="589">
      <c r="F589" s="88"/>
      <c r="G589" s="53"/>
    </row>
    <row r="590">
      <c r="F590" s="88"/>
      <c r="G590" s="53"/>
    </row>
    <row r="591">
      <c r="F591" s="88"/>
      <c r="G591" s="53"/>
    </row>
    <row r="592">
      <c r="F592" s="88"/>
      <c r="G592" s="53"/>
    </row>
    <row r="593">
      <c r="F593" s="88"/>
      <c r="G593" s="53"/>
    </row>
    <row r="594">
      <c r="F594" s="88"/>
      <c r="G594" s="53"/>
    </row>
    <row r="595">
      <c r="F595" s="88"/>
      <c r="G595" s="53"/>
    </row>
    <row r="596">
      <c r="F596" s="88"/>
      <c r="G596" s="53"/>
    </row>
    <row r="597">
      <c r="F597" s="88"/>
      <c r="G597" s="53"/>
    </row>
    <row r="598">
      <c r="F598" s="88"/>
      <c r="G598" s="53"/>
    </row>
    <row r="599">
      <c r="F599" s="88"/>
      <c r="G599" s="53"/>
    </row>
    <row r="600">
      <c r="F600" s="88"/>
      <c r="G600" s="53"/>
    </row>
    <row r="601">
      <c r="F601" s="88"/>
      <c r="G601" s="53"/>
    </row>
    <row r="602">
      <c r="F602" s="88"/>
      <c r="G602" s="53"/>
    </row>
    <row r="603">
      <c r="F603" s="88"/>
      <c r="G603" s="53"/>
    </row>
    <row r="604">
      <c r="F604" s="88"/>
      <c r="G604" s="53"/>
    </row>
    <row r="605">
      <c r="F605" s="88"/>
      <c r="G605" s="53"/>
    </row>
    <row r="606">
      <c r="F606" s="88"/>
      <c r="G606" s="53"/>
    </row>
    <row r="607">
      <c r="F607" s="88"/>
      <c r="G607" s="53"/>
    </row>
    <row r="608">
      <c r="F608" s="88"/>
      <c r="G608" s="53"/>
    </row>
    <row r="609">
      <c r="F609" s="88"/>
      <c r="G609" s="53"/>
    </row>
    <row r="610">
      <c r="F610" s="88"/>
      <c r="G610" s="53"/>
    </row>
    <row r="611">
      <c r="F611" s="88"/>
      <c r="G611" s="53"/>
    </row>
    <row r="612">
      <c r="F612" s="88"/>
      <c r="G612" s="53"/>
    </row>
    <row r="613">
      <c r="F613" s="88"/>
      <c r="G613" s="53"/>
    </row>
    <row r="614">
      <c r="F614" s="88"/>
      <c r="G614" s="53"/>
    </row>
    <row r="615">
      <c r="F615" s="88"/>
      <c r="G615" s="53"/>
    </row>
    <row r="616">
      <c r="F616" s="88"/>
      <c r="G616" s="53"/>
    </row>
    <row r="617">
      <c r="F617" s="88"/>
      <c r="G617" s="53"/>
    </row>
    <row r="618">
      <c r="F618" s="88"/>
      <c r="G618" s="53"/>
    </row>
    <row r="619">
      <c r="F619" s="88"/>
      <c r="G619" s="53"/>
    </row>
    <row r="620">
      <c r="F620" s="88"/>
      <c r="G620" s="53"/>
    </row>
    <row r="621">
      <c r="F621" s="88"/>
      <c r="G621" s="53"/>
    </row>
    <row r="622">
      <c r="F622" s="88"/>
      <c r="G622" s="53"/>
    </row>
    <row r="623">
      <c r="F623" s="88"/>
      <c r="G623" s="53"/>
    </row>
    <row r="624">
      <c r="F624" s="88"/>
      <c r="G624" s="53"/>
    </row>
    <row r="625">
      <c r="F625" s="88"/>
      <c r="G625" s="53"/>
    </row>
    <row r="626">
      <c r="F626" s="88"/>
      <c r="G626" s="53"/>
    </row>
    <row r="627">
      <c r="F627" s="88"/>
      <c r="G627" s="53"/>
    </row>
    <row r="628">
      <c r="F628" s="88"/>
      <c r="G628" s="53"/>
    </row>
    <row r="629">
      <c r="F629" s="88"/>
      <c r="G629" s="53"/>
    </row>
    <row r="630">
      <c r="F630" s="88"/>
      <c r="G630" s="53"/>
    </row>
    <row r="631">
      <c r="F631" s="88"/>
      <c r="G631" s="53"/>
    </row>
    <row r="632">
      <c r="F632" s="88"/>
      <c r="G632" s="53"/>
    </row>
    <row r="633">
      <c r="F633" s="88"/>
      <c r="G633" s="53"/>
    </row>
    <row r="634">
      <c r="F634" s="88"/>
      <c r="G634" s="53"/>
    </row>
    <row r="635">
      <c r="F635" s="88"/>
      <c r="G635" s="53"/>
    </row>
    <row r="636">
      <c r="F636" s="88"/>
      <c r="G636" s="53"/>
    </row>
    <row r="637">
      <c r="F637" s="88"/>
      <c r="G637" s="53"/>
    </row>
    <row r="638">
      <c r="F638" s="88"/>
      <c r="G638" s="53"/>
    </row>
    <row r="639">
      <c r="F639" s="88"/>
      <c r="G639" s="53"/>
    </row>
    <row r="640">
      <c r="F640" s="88"/>
      <c r="G640" s="53"/>
    </row>
    <row r="641">
      <c r="F641" s="88"/>
      <c r="G641" s="53"/>
    </row>
    <row r="642">
      <c r="F642" s="88"/>
      <c r="G642" s="53"/>
    </row>
    <row r="643">
      <c r="F643" s="88"/>
      <c r="G643" s="53"/>
    </row>
    <row r="644">
      <c r="F644" s="88"/>
      <c r="G644" s="53"/>
    </row>
    <row r="645">
      <c r="F645" s="88"/>
      <c r="G645" s="53"/>
    </row>
    <row r="646">
      <c r="F646" s="88"/>
      <c r="G646" s="53"/>
    </row>
    <row r="647">
      <c r="F647" s="88"/>
      <c r="G647" s="53"/>
    </row>
    <row r="648">
      <c r="F648" s="88"/>
      <c r="G648" s="53"/>
    </row>
    <row r="649">
      <c r="F649" s="88"/>
      <c r="G649" s="53"/>
    </row>
    <row r="650">
      <c r="F650" s="88"/>
      <c r="G650" s="53"/>
    </row>
    <row r="651">
      <c r="F651" s="88"/>
      <c r="G651" s="53"/>
    </row>
    <row r="652">
      <c r="F652" s="88"/>
      <c r="G652" s="53"/>
    </row>
    <row r="653">
      <c r="F653" s="88"/>
      <c r="G653" s="53"/>
    </row>
    <row r="654">
      <c r="F654" s="88"/>
      <c r="G654" s="53"/>
    </row>
    <row r="655">
      <c r="F655" s="88"/>
      <c r="G655" s="53"/>
    </row>
    <row r="656">
      <c r="F656" s="88"/>
      <c r="G656" s="53"/>
    </row>
    <row r="657">
      <c r="F657" s="88"/>
      <c r="G657" s="53"/>
    </row>
    <row r="658">
      <c r="F658" s="88"/>
      <c r="G658" s="53"/>
    </row>
    <row r="659">
      <c r="F659" s="88"/>
      <c r="G659" s="53"/>
    </row>
    <row r="660">
      <c r="F660" s="88"/>
      <c r="G660" s="53"/>
    </row>
    <row r="661">
      <c r="F661" s="88"/>
      <c r="G661" s="53"/>
    </row>
    <row r="662">
      <c r="F662" s="88"/>
      <c r="G662" s="53"/>
    </row>
    <row r="663">
      <c r="F663" s="88"/>
      <c r="G663" s="53"/>
    </row>
    <row r="664">
      <c r="F664" s="88"/>
      <c r="G664" s="53"/>
    </row>
    <row r="665">
      <c r="F665" s="88"/>
      <c r="G665" s="53"/>
    </row>
    <row r="666">
      <c r="F666" s="88"/>
      <c r="G666" s="53"/>
    </row>
    <row r="667">
      <c r="F667" s="88"/>
      <c r="G667" s="53"/>
    </row>
    <row r="668">
      <c r="F668" s="88"/>
      <c r="G668" s="53"/>
    </row>
    <row r="669">
      <c r="F669" s="88"/>
      <c r="G669" s="53"/>
    </row>
    <row r="670">
      <c r="F670" s="88"/>
      <c r="G670" s="53"/>
    </row>
    <row r="671">
      <c r="F671" s="88"/>
      <c r="G671" s="53"/>
    </row>
    <row r="672">
      <c r="F672" s="88"/>
      <c r="G672" s="53"/>
    </row>
    <row r="673">
      <c r="F673" s="88"/>
      <c r="G673" s="53"/>
    </row>
    <row r="674">
      <c r="F674" s="88"/>
      <c r="G674" s="53"/>
    </row>
    <row r="675">
      <c r="F675" s="88"/>
      <c r="G675" s="53"/>
    </row>
    <row r="676">
      <c r="F676" s="88"/>
      <c r="G676" s="53"/>
    </row>
    <row r="677">
      <c r="F677" s="88"/>
      <c r="G677" s="53"/>
    </row>
    <row r="678">
      <c r="F678" s="88"/>
      <c r="G678" s="53"/>
    </row>
    <row r="679">
      <c r="F679" s="88"/>
      <c r="G679" s="53"/>
    </row>
    <row r="680">
      <c r="F680" s="88"/>
      <c r="G680" s="53"/>
    </row>
    <row r="681">
      <c r="F681" s="88"/>
      <c r="G681" s="53"/>
    </row>
    <row r="682">
      <c r="F682" s="88"/>
      <c r="G682" s="53"/>
    </row>
    <row r="683">
      <c r="F683" s="88"/>
      <c r="G683" s="53"/>
    </row>
    <row r="684">
      <c r="F684" s="88"/>
      <c r="G684" s="53"/>
    </row>
    <row r="685">
      <c r="F685" s="88"/>
      <c r="G685" s="53"/>
    </row>
    <row r="686">
      <c r="F686" s="88"/>
      <c r="G686" s="53"/>
    </row>
    <row r="687">
      <c r="F687" s="88"/>
      <c r="G687" s="53"/>
    </row>
    <row r="688">
      <c r="F688" s="88"/>
      <c r="G688" s="53"/>
    </row>
    <row r="689">
      <c r="F689" s="88"/>
      <c r="G689" s="53"/>
    </row>
    <row r="690">
      <c r="F690" s="88"/>
      <c r="G690" s="53"/>
    </row>
    <row r="691">
      <c r="F691" s="88"/>
      <c r="G691" s="53"/>
    </row>
    <row r="692">
      <c r="F692" s="88"/>
      <c r="G692" s="53"/>
    </row>
    <row r="693">
      <c r="F693" s="88"/>
      <c r="G693" s="53"/>
    </row>
    <row r="694">
      <c r="F694" s="88"/>
      <c r="G694" s="53"/>
    </row>
    <row r="695">
      <c r="F695" s="88"/>
      <c r="G695" s="53"/>
    </row>
    <row r="696">
      <c r="F696" s="88"/>
      <c r="G696" s="53"/>
    </row>
    <row r="697">
      <c r="F697" s="88"/>
      <c r="G697" s="53"/>
    </row>
    <row r="698">
      <c r="F698" s="88"/>
      <c r="G698" s="53"/>
    </row>
    <row r="699">
      <c r="F699" s="88"/>
      <c r="G699" s="53"/>
    </row>
    <row r="700">
      <c r="F700" s="88"/>
      <c r="G700" s="53"/>
    </row>
    <row r="701">
      <c r="F701" s="88"/>
      <c r="G701" s="53"/>
    </row>
    <row r="702">
      <c r="F702" s="88"/>
      <c r="G702" s="53"/>
    </row>
    <row r="703">
      <c r="F703" s="88"/>
      <c r="G703" s="53"/>
    </row>
    <row r="704">
      <c r="F704" s="88"/>
      <c r="G704" s="53"/>
    </row>
    <row r="705">
      <c r="F705" s="88"/>
      <c r="G705" s="53"/>
    </row>
    <row r="706">
      <c r="F706" s="88"/>
      <c r="G706" s="53"/>
    </row>
    <row r="707">
      <c r="F707" s="88"/>
      <c r="G707" s="53"/>
    </row>
    <row r="708">
      <c r="F708" s="88"/>
      <c r="G708" s="53"/>
    </row>
    <row r="709">
      <c r="F709" s="88"/>
      <c r="G709" s="53"/>
    </row>
    <row r="710">
      <c r="F710" s="88"/>
      <c r="G710" s="53"/>
    </row>
    <row r="711">
      <c r="F711" s="88"/>
      <c r="G711" s="53"/>
    </row>
    <row r="712">
      <c r="F712" s="88"/>
      <c r="G712" s="53"/>
    </row>
    <row r="713">
      <c r="F713" s="88"/>
      <c r="G713" s="53"/>
    </row>
    <row r="714">
      <c r="F714" s="88"/>
      <c r="G714" s="53"/>
    </row>
    <row r="715">
      <c r="F715" s="88"/>
      <c r="G715" s="53"/>
    </row>
    <row r="716">
      <c r="F716" s="88"/>
      <c r="G716" s="53"/>
    </row>
    <row r="717">
      <c r="F717" s="88"/>
      <c r="G717" s="53"/>
    </row>
    <row r="718">
      <c r="F718" s="88"/>
      <c r="G718" s="53"/>
    </row>
    <row r="719">
      <c r="F719" s="88"/>
      <c r="G719" s="53"/>
    </row>
    <row r="720">
      <c r="F720" s="88"/>
      <c r="G720" s="53"/>
    </row>
    <row r="721">
      <c r="F721" s="88"/>
      <c r="G721" s="53"/>
    </row>
    <row r="722">
      <c r="F722" s="88"/>
      <c r="G722" s="53"/>
    </row>
    <row r="723">
      <c r="F723" s="88"/>
      <c r="G723" s="53"/>
    </row>
    <row r="724">
      <c r="F724" s="88"/>
      <c r="G724" s="53"/>
    </row>
    <row r="725">
      <c r="F725" s="88"/>
      <c r="G725" s="53"/>
    </row>
    <row r="726">
      <c r="F726" s="88"/>
      <c r="G726" s="53"/>
    </row>
    <row r="727">
      <c r="F727" s="88"/>
      <c r="G727" s="53"/>
    </row>
    <row r="728">
      <c r="F728" s="88"/>
      <c r="G728" s="53"/>
    </row>
    <row r="729">
      <c r="F729" s="88"/>
      <c r="G729" s="53"/>
    </row>
    <row r="730">
      <c r="F730" s="88"/>
      <c r="G730" s="53"/>
    </row>
    <row r="731">
      <c r="F731" s="88"/>
      <c r="G731" s="53"/>
    </row>
    <row r="732">
      <c r="F732" s="88"/>
      <c r="G732" s="53"/>
    </row>
    <row r="733">
      <c r="F733" s="88"/>
      <c r="G733" s="53"/>
    </row>
    <row r="734">
      <c r="F734" s="88"/>
      <c r="G734" s="53"/>
    </row>
    <row r="735">
      <c r="F735" s="88"/>
      <c r="G735" s="53"/>
    </row>
    <row r="736">
      <c r="F736" s="88"/>
      <c r="G736" s="53"/>
    </row>
    <row r="737">
      <c r="F737" s="88"/>
      <c r="G737" s="53"/>
    </row>
    <row r="738">
      <c r="F738" s="88"/>
      <c r="G738" s="53"/>
    </row>
    <row r="739">
      <c r="F739" s="88"/>
      <c r="G739" s="53"/>
    </row>
    <row r="740">
      <c r="F740" s="88"/>
      <c r="G740" s="53"/>
    </row>
    <row r="741">
      <c r="F741" s="88"/>
      <c r="G741" s="53"/>
    </row>
    <row r="742">
      <c r="F742" s="88"/>
      <c r="G742" s="53"/>
    </row>
    <row r="743">
      <c r="F743" s="88"/>
      <c r="G743" s="53"/>
    </row>
    <row r="744">
      <c r="F744" s="88"/>
      <c r="G744" s="53"/>
    </row>
    <row r="745">
      <c r="F745" s="88"/>
      <c r="G745" s="53"/>
    </row>
    <row r="746">
      <c r="F746" s="88"/>
      <c r="G746" s="53"/>
    </row>
    <row r="747">
      <c r="F747" s="88"/>
      <c r="G747" s="53"/>
    </row>
    <row r="748">
      <c r="F748" s="88"/>
      <c r="G748" s="53"/>
    </row>
    <row r="749">
      <c r="F749" s="88"/>
      <c r="G749" s="53"/>
    </row>
    <row r="750">
      <c r="F750" s="88"/>
      <c r="G750" s="53"/>
    </row>
    <row r="751">
      <c r="F751" s="88"/>
      <c r="G751" s="53"/>
    </row>
    <row r="752">
      <c r="F752" s="88"/>
      <c r="G752" s="53"/>
    </row>
    <row r="753">
      <c r="F753" s="88"/>
      <c r="G753" s="53"/>
    </row>
    <row r="754">
      <c r="F754" s="88"/>
      <c r="G754" s="53"/>
    </row>
    <row r="755">
      <c r="F755" s="88"/>
      <c r="G755" s="53"/>
    </row>
    <row r="756">
      <c r="F756" s="88"/>
      <c r="G756" s="53"/>
    </row>
    <row r="757">
      <c r="F757" s="88"/>
      <c r="G757" s="53"/>
    </row>
    <row r="758">
      <c r="F758" s="88"/>
      <c r="G758" s="53"/>
    </row>
    <row r="759">
      <c r="F759" s="88"/>
      <c r="G759" s="53"/>
    </row>
    <row r="760">
      <c r="F760" s="88"/>
      <c r="G760" s="53"/>
    </row>
    <row r="761">
      <c r="F761" s="88"/>
      <c r="G761" s="53"/>
    </row>
    <row r="762">
      <c r="F762" s="88"/>
      <c r="G762" s="53"/>
    </row>
    <row r="763">
      <c r="F763" s="88"/>
      <c r="G763" s="53"/>
    </row>
    <row r="764">
      <c r="F764" s="88"/>
      <c r="G764" s="53"/>
    </row>
    <row r="765">
      <c r="F765" s="88"/>
      <c r="G765" s="53"/>
    </row>
    <row r="766">
      <c r="F766" s="88"/>
      <c r="G766" s="53"/>
    </row>
    <row r="767">
      <c r="F767" s="88"/>
      <c r="G767" s="53"/>
    </row>
    <row r="768">
      <c r="F768" s="88"/>
      <c r="G768" s="53"/>
    </row>
    <row r="769">
      <c r="F769" s="88"/>
      <c r="G769" s="53"/>
    </row>
    <row r="770">
      <c r="F770" s="88"/>
      <c r="G770" s="53"/>
    </row>
    <row r="771">
      <c r="F771" s="88"/>
      <c r="G771" s="53"/>
    </row>
    <row r="772">
      <c r="F772" s="88"/>
      <c r="G772" s="53"/>
    </row>
    <row r="773">
      <c r="F773" s="88"/>
      <c r="G773" s="53"/>
    </row>
    <row r="774">
      <c r="F774" s="88"/>
      <c r="G774" s="53"/>
    </row>
    <row r="775">
      <c r="F775" s="88"/>
      <c r="G775" s="53"/>
    </row>
    <row r="776">
      <c r="F776" s="88"/>
      <c r="G776" s="53"/>
    </row>
    <row r="777">
      <c r="F777" s="88"/>
      <c r="G777" s="53"/>
    </row>
    <row r="778">
      <c r="F778" s="88"/>
      <c r="G778" s="53"/>
    </row>
    <row r="779">
      <c r="F779" s="88"/>
      <c r="G779" s="53"/>
    </row>
    <row r="780">
      <c r="F780" s="88"/>
      <c r="G780" s="53"/>
    </row>
    <row r="781">
      <c r="F781" s="88"/>
      <c r="G781" s="53"/>
    </row>
    <row r="782">
      <c r="F782" s="88"/>
      <c r="G782" s="53"/>
    </row>
    <row r="783">
      <c r="F783" s="88"/>
      <c r="G783" s="53"/>
    </row>
    <row r="784">
      <c r="F784" s="88"/>
      <c r="G784" s="53"/>
    </row>
    <row r="785">
      <c r="F785" s="88"/>
      <c r="G785" s="53"/>
    </row>
    <row r="786">
      <c r="F786" s="88"/>
      <c r="G786" s="53"/>
    </row>
    <row r="787">
      <c r="F787" s="88"/>
      <c r="G787" s="53"/>
    </row>
    <row r="788">
      <c r="F788" s="88"/>
      <c r="G788" s="53"/>
    </row>
    <row r="789">
      <c r="F789" s="88"/>
      <c r="G789" s="53"/>
    </row>
    <row r="790">
      <c r="F790" s="88"/>
      <c r="G790" s="53"/>
    </row>
    <row r="791">
      <c r="F791" s="88"/>
      <c r="G791" s="53"/>
    </row>
    <row r="792">
      <c r="F792" s="88"/>
      <c r="G792" s="53"/>
    </row>
    <row r="793">
      <c r="F793" s="88"/>
      <c r="G793" s="53"/>
    </row>
    <row r="794">
      <c r="F794" s="88"/>
      <c r="G794" s="53"/>
    </row>
    <row r="795">
      <c r="F795" s="88"/>
      <c r="G795" s="53"/>
    </row>
    <row r="796">
      <c r="F796" s="88"/>
      <c r="G796" s="53"/>
    </row>
    <row r="797">
      <c r="F797" s="88"/>
      <c r="G797" s="53"/>
    </row>
    <row r="798">
      <c r="F798" s="88"/>
      <c r="G798" s="53"/>
    </row>
    <row r="799">
      <c r="F799" s="88"/>
      <c r="G799" s="53"/>
    </row>
    <row r="800">
      <c r="F800" s="88"/>
      <c r="G800" s="53"/>
    </row>
    <row r="801">
      <c r="F801" s="88"/>
      <c r="G801" s="53"/>
    </row>
    <row r="802">
      <c r="F802" s="88"/>
      <c r="G802" s="53"/>
    </row>
    <row r="803">
      <c r="F803" s="88"/>
      <c r="G803" s="53"/>
    </row>
    <row r="804">
      <c r="F804" s="88"/>
      <c r="G804" s="53"/>
    </row>
    <row r="805">
      <c r="F805" s="88"/>
      <c r="G805" s="53"/>
    </row>
    <row r="806">
      <c r="F806" s="88"/>
      <c r="G806" s="53"/>
    </row>
    <row r="807">
      <c r="F807" s="88"/>
      <c r="G807" s="53"/>
    </row>
    <row r="808">
      <c r="F808" s="88"/>
      <c r="G808" s="53"/>
    </row>
    <row r="809">
      <c r="F809" s="88"/>
      <c r="G809" s="53"/>
    </row>
    <row r="810">
      <c r="F810" s="88"/>
      <c r="G810" s="53"/>
    </row>
    <row r="811">
      <c r="F811" s="88"/>
      <c r="G811" s="53"/>
    </row>
    <row r="812">
      <c r="F812" s="88"/>
      <c r="G812" s="53"/>
    </row>
    <row r="813">
      <c r="F813" s="88"/>
      <c r="G813" s="53"/>
    </row>
    <row r="814">
      <c r="F814" s="88"/>
      <c r="G814" s="53"/>
    </row>
    <row r="815">
      <c r="F815" s="88"/>
      <c r="G815" s="53"/>
    </row>
    <row r="816">
      <c r="F816" s="88"/>
      <c r="G816" s="53"/>
    </row>
    <row r="817">
      <c r="F817" s="88"/>
      <c r="G817" s="53"/>
    </row>
    <row r="818">
      <c r="F818" s="88"/>
      <c r="G818" s="53"/>
    </row>
    <row r="819">
      <c r="F819" s="88"/>
      <c r="G819" s="53"/>
    </row>
    <row r="820">
      <c r="F820" s="88"/>
      <c r="G820" s="53"/>
    </row>
    <row r="821">
      <c r="F821" s="88"/>
      <c r="G821" s="53"/>
    </row>
    <row r="822">
      <c r="F822" s="88"/>
      <c r="G822" s="53"/>
    </row>
    <row r="823">
      <c r="F823" s="88"/>
      <c r="G823" s="53"/>
    </row>
    <row r="824">
      <c r="F824" s="88"/>
      <c r="G824" s="53"/>
    </row>
    <row r="825">
      <c r="F825" s="88"/>
      <c r="G825" s="53"/>
    </row>
    <row r="826">
      <c r="F826" s="88"/>
      <c r="G826" s="53"/>
    </row>
    <row r="827">
      <c r="F827" s="88"/>
      <c r="G827" s="53"/>
    </row>
    <row r="828">
      <c r="F828" s="88"/>
      <c r="G828" s="53"/>
    </row>
    <row r="829">
      <c r="F829" s="88"/>
      <c r="G829" s="53"/>
    </row>
    <row r="830">
      <c r="F830" s="88"/>
      <c r="G830" s="53"/>
    </row>
    <row r="831">
      <c r="F831" s="88"/>
      <c r="G831" s="53"/>
    </row>
    <row r="832">
      <c r="F832" s="88"/>
      <c r="G832" s="53"/>
    </row>
    <row r="833">
      <c r="F833" s="88"/>
      <c r="G833" s="53"/>
    </row>
    <row r="834">
      <c r="F834" s="88"/>
      <c r="G834" s="53"/>
    </row>
    <row r="835">
      <c r="F835" s="88"/>
      <c r="G835" s="53"/>
    </row>
    <row r="836">
      <c r="F836" s="88"/>
      <c r="G836" s="53"/>
    </row>
    <row r="837">
      <c r="F837" s="88"/>
      <c r="G837" s="53"/>
    </row>
    <row r="838">
      <c r="F838" s="88"/>
      <c r="G838" s="53"/>
    </row>
    <row r="839">
      <c r="F839" s="88"/>
      <c r="G839" s="53"/>
    </row>
    <row r="840">
      <c r="F840" s="88"/>
      <c r="G840" s="53"/>
    </row>
    <row r="841">
      <c r="F841" s="88"/>
      <c r="G841" s="53"/>
    </row>
    <row r="842">
      <c r="F842" s="88"/>
      <c r="G842" s="53"/>
    </row>
    <row r="843">
      <c r="F843" s="88"/>
      <c r="G843" s="53"/>
    </row>
    <row r="844">
      <c r="F844" s="88"/>
      <c r="G844" s="53"/>
    </row>
    <row r="845">
      <c r="F845" s="88"/>
      <c r="G845" s="53"/>
    </row>
    <row r="846">
      <c r="F846" s="88"/>
      <c r="G846" s="53"/>
    </row>
    <row r="847">
      <c r="F847" s="88"/>
      <c r="G847" s="53"/>
    </row>
    <row r="848">
      <c r="F848" s="88"/>
      <c r="G848" s="53"/>
    </row>
    <row r="849">
      <c r="F849" s="88"/>
      <c r="G849" s="53"/>
    </row>
    <row r="850">
      <c r="F850" s="88"/>
      <c r="G850" s="53"/>
    </row>
    <row r="851">
      <c r="F851" s="88"/>
      <c r="G851" s="53"/>
    </row>
    <row r="852">
      <c r="F852" s="88"/>
      <c r="G852" s="53"/>
    </row>
    <row r="853">
      <c r="F853" s="88"/>
      <c r="G853" s="53"/>
    </row>
    <row r="854">
      <c r="F854" s="88"/>
      <c r="G854" s="53"/>
    </row>
    <row r="855">
      <c r="F855" s="88"/>
      <c r="G855" s="53"/>
    </row>
    <row r="856">
      <c r="F856" s="88"/>
      <c r="G856" s="53"/>
    </row>
    <row r="857">
      <c r="F857" s="88"/>
      <c r="G857" s="53"/>
    </row>
    <row r="858">
      <c r="F858" s="88"/>
      <c r="G858" s="53"/>
    </row>
    <row r="859">
      <c r="F859" s="88"/>
      <c r="G859" s="53"/>
    </row>
    <row r="860">
      <c r="F860" s="88"/>
      <c r="G860" s="53"/>
    </row>
    <row r="861">
      <c r="F861" s="88"/>
      <c r="G861" s="53"/>
    </row>
    <row r="862">
      <c r="F862" s="88"/>
      <c r="G862" s="53"/>
    </row>
    <row r="863">
      <c r="F863" s="88"/>
      <c r="G863" s="53"/>
    </row>
    <row r="864">
      <c r="F864" s="88"/>
      <c r="G864" s="53"/>
    </row>
    <row r="865">
      <c r="F865" s="88"/>
      <c r="G865" s="53"/>
    </row>
    <row r="866">
      <c r="F866" s="88"/>
      <c r="G866" s="53"/>
    </row>
    <row r="867">
      <c r="F867" s="88"/>
      <c r="G867" s="53"/>
    </row>
    <row r="868">
      <c r="F868" s="88"/>
      <c r="G868" s="53"/>
    </row>
    <row r="869">
      <c r="F869" s="88"/>
      <c r="G869" s="53"/>
    </row>
    <row r="870">
      <c r="F870" s="88"/>
      <c r="G870" s="53"/>
    </row>
    <row r="871">
      <c r="F871" s="88"/>
      <c r="G871" s="53"/>
    </row>
    <row r="872">
      <c r="F872" s="88"/>
      <c r="G872" s="53"/>
    </row>
    <row r="873">
      <c r="F873" s="88"/>
      <c r="G873" s="53"/>
    </row>
    <row r="874">
      <c r="F874" s="88"/>
      <c r="G874" s="53"/>
    </row>
    <row r="875">
      <c r="F875" s="88"/>
      <c r="G875" s="53"/>
    </row>
    <row r="876">
      <c r="F876" s="88"/>
      <c r="G876" s="53"/>
    </row>
    <row r="877">
      <c r="F877" s="88"/>
      <c r="G877" s="53"/>
    </row>
    <row r="878">
      <c r="F878" s="88"/>
      <c r="G878" s="53"/>
    </row>
    <row r="879">
      <c r="F879" s="88"/>
      <c r="G879" s="53"/>
    </row>
    <row r="880">
      <c r="F880" s="88"/>
      <c r="G880" s="53"/>
    </row>
    <row r="881">
      <c r="F881" s="88"/>
      <c r="G881" s="53"/>
    </row>
    <row r="882">
      <c r="F882" s="88"/>
      <c r="G882" s="53"/>
    </row>
    <row r="883">
      <c r="F883" s="88"/>
      <c r="G883" s="53"/>
    </row>
    <row r="884">
      <c r="F884" s="88"/>
      <c r="G884" s="53"/>
    </row>
    <row r="885">
      <c r="F885" s="88"/>
      <c r="G885" s="53"/>
    </row>
    <row r="886">
      <c r="F886" s="88"/>
      <c r="G886" s="53"/>
    </row>
    <row r="887">
      <c r="F887" s="88"/>
      <c r="G887" s="53"/>
    </row>
    <row r="888">
      <c r="F888" s="88"/>
      <c r="G888" s="53"/>
    </row>
    <row r="889">
      <c r="F889" s="88"/>
      <c r="G889" s="53"/>
    </row>
    <row r="890">
      <c r="F890" s="88"/>
      <c r="G890" s="53"/>
    </row>
    <row r="891">
      <c r="F891" s="88"/>
      <c r="G891" s="53"/>
    </row>
    <row r="892">
      <c r="F892" s="88"/>
      <c r="G892" s="53"/>
    </row>
    <row r="893">
      <c r="F893" s="88"/>
      <c r="G893" s="53"/>
    </row>
    <row r="894">
      <c r="F894" s="88"/>
      <c r="G894" s="53"/>
    </row>
    <row r="895">
      <c r="F895" s="88"/>
      <c r="G895" s="53"/>
    </row>
    <row r="896">
      <c r="F896" s="88"/>
      <c r="G896" s="53"/>
    </row>
    <row r="897">
      <c r="F897" s="88"/>
      <c r="G897" s="53"/>
    </row>
    <row r="898">
      <c r="F898" s="88"/>
      <c r="G898" s="53"/>
    </row>
    <row r="899">
      <c r="F899" s="88"/>
      <c r="G899" s="53"/>
    </row>
    <row r="900">
      <c r="F900" s="88"/>
      <c r="G900" s="53"/>
    </row>
    <row r="901">
      <c r="F901" s="88"/>
      <c r="G901" s="53"/>
    </row>
    <row r="902">
      <c r="F902" s="88"/>
      <c r="G902" s="53"/>
    </row>
    <row r="903">
      <c r="F903" s="88"/>
      <c r="G903" s="53"/>
    </row>
    <row r="904">
      <c r="F904" s="88"/>
      <c r="G904" s="53"/>
    </row>
    <row r="905">
      <c r="F905" s="88"/>
      <c r="G905" s="53"/>
    </row>
    <row r="906">
      <c r="F906" s="88"/>
      <c r="G906" s="53"/>
    </row>
    <row r="907">
      <c r="F907" s="88"/>
      <c r="G907" s="53"/>
    </row>
    <row r="908">
      <c r="F908" s="88"/>
      <c r="G908" s="53"/>
    </row>
    <row r="909">
      <c r="F909" s="88"/>
      <c r="G909" s="53"/>
    </row>
    <row r="910">
      <c r="F910" s="88"/>
      <c r="G910" s="53"/>
    </row>
    <row r="911">
      <c r="F911" s="88"/>
      <c r="G911" s="53"/>
    </row>
    <row r="912">
      <c r="F912" s="88"/>
      <c r="G912" s="53"/>
    </row>
    <row r="913">
      <c r="F913" s="88"/>
      <c r="G913" s="53"/>
    </row>
    <row r="914">
      <c r="F914" s="88"/>
      <c r="G914" s="53"/>
    </row>
    <row r="915">
      <c r="F915" s="88"/>
      <c r="G915" s="53"/>
    </row>
    <row r="916">
      <c r="F916" s="88"/>
      <c r="G916" s="53"/>
    </row>
    <row r="917">
      <c r="F917" s="88"/>
      <c r="G917" s="53"/>
    </row>
    <row r="918">
      <c r="F918" s="88"/>
      <c r="G918" s="53"/>
    </row>
    <row r="919">
      <c r="F919" s="88"/>
      <c r="G919" s="53"/>
    </row>
    <row r="920">
      <c r="F920" s="88"/>
      <c r="G920" s="53"/>
    </row>
    <row r="921">
      <c r="F921" s="88"/>
      <c r="G921" s="53"/>
    </row>
    <row r="922">
      <c r="F922" s="88"/>
      <c r="G922" s="53"/>
    </row>
    <row r="923">
      <c r="F923" s="88"/>
      <c r="G923" s="53"/>
    </row>
    <row r="924">
      <c r="F924" s="88"/>
      <c r="G924" s="53"/>
    </row>
    <row r="925">
      <c r="F925" s="88"/>
      <c r="G925" s="53"/>
    </row>
    <row r="926">
      <c r="F926" s="88"/>
      <c r="G926" s="53"/>
    </row>
    <row r="927">
      <c r="F927" s="88"/>
      <c r="G927" s="53"/>
    </row>
    <row r="928">
      <c r="F928" s="88"/>
      <c r="G928" s="53"/>
    </row>
    <row r="929">
      <c r="F929" s="88"/>
      <c r="G929" s="53"/>
    </row>
    <row r="930">
      <c r="F930" s="88"/>
      <c r="G930" s="53"/>
    </row>
    <row r="931">
      <c r="F931" s="88"/>
      <c r="G931" s="53"/>
    </row>
    <row r="932">
      <c r="F932" s="88"/>
      <c r="G932" s="53"/>
    </row>
    <row r="933">
      <c r="F933" s="88"/>
      <c r="G933" s="53"/>
    </row>
    <row r="934">
      <c r="F934" s="88"/>
      <c r="G934" s="53"/>
    </row>
    <row r="935">
      <c r="F935" s="88"/>
      <c r="G935" s="53"/>
    </row>
    <row r="936">
      <c r="F936" s="88"/>
      <c r="G936" s="53"/>
    </row>
    <row r="937">
      <c r="F937" s="88"/>
      <c r="G937" s="53"/>
    </row>
    <row r="938">
      <c r="F938" s="88"/>
      <c r="G938" s="53"/>
    </row>
    <row r="939">
      <c r="F939" s="88"/>
      <c r="G939" s="53"/>
    </row>
    <row r="940">
      <c r="F940" s="88"/>
      <c r="G940" s="53"/>
    </row>
    <row r="941">
      <c r="F941" s="88"/>
      <c r="G941" s="53"/>
    </row>
    <row r="942">
      <c r="F942" s="88"/>
      <c r="G942" s="53"/>
    </row>
    <row r="943">
      <c r="F943" s="88"/>
      <c r="G943" s="53"/>
    </row>
    <row r="944">
      <c r="F944" s="88"/>
      <c r="G944" s="53"/>
    </row>
    <row r="945">
      <c r="F945" s="88"/>
      <c r="G945" s="53"/>
    </row>
    <row r="946">
      <c r="F946" s="88"/>
      <c r="G946" s="53"/>
    </row>
    <row r="947">
      <c r="F947" s="88"/>
      <c r="G947" s="53"/>
    </row>
    <row r="948">
      <c r="F948" s="88"/>
      <c r="G948" s="53"/>
    </row>
    <row r="949">
      <c r="F949" s="88"/>
      <c r="G949" s="53"/>
    </row>
    <row r="950">
      <c r="F950" s="88"/>
      <c r="G950" s="53"/>
    </row>
    <row r="951">
      <c r="F951" s="88"/>
      <c r="G951" s="53"/>
    </row>
    <row r="952">
      <c r="F952" s="88"/>
      <c r="G952" s="53"/>
    </row>
    <row r="953">
      <c r="F953" s="88"/>
      <c r="G953" s="53"/>
    </row>
    <row r="954">
      <c r="F954" s="88"/>
      <c r="G954" s="53"/>
    </row>
    <row r="955">
      <c r="F955" s="88"/>
      <c r="G955" s="53"/>
    </row>
    <row r="956">
      <c r="F956" s="88"/>
      <c r="G956" s="53"/>
    </row>
    <row r="957">
      <c r="F957" s="88"/>
      <c r="G957" s="53"/>
    </row>
    <row r="958">
      <c r="F958" s="88"/>
      <c r="G958" s="53"/>
    </row>
    <row r="959">
      <c r="F959" s="88"/>
      <c r="G959" s="53"/>
    </row>
    <row r="960">
      <c r="F960" s="88"/>
      <c r="G960" s="53"/>
    </row>
    <row r="961">
      <c r="F961" s="88"/>
      <c r="G961" s="53"/>
    </row>
    <row r="962">
      <c r="F962" s="88"/>
      <c r="G962" s="53"/>
    </row>
    <row r="963">
      <c r="F963" s="88"/>
      <c r="G963" s="53"/>
    </row>
    <row r="964">
      <c r="F964" s="88"/>
      <c r="G964" s="53"/>
    </row>
    <row r="965">
      <c r="F965" s="88"/>
      <c r="G965" s="53"/>
    </row>
    <row r="966">
      <c r="F966" s="88"/>
      <c r="G966" s="53"/>
    </row>
    <row r="967">
      <c r="F967" s="88"/>
      <c r="G967" s="53"/>
    </row>
    <row r="968">
      <c r="F968" s="88"/>
      <c r="G968" s="53"/>
    </row>
    <row r="969">
      <c r="F969" s="88"/>
      <c r="G969" s="53"/>
    </row>
    <row r="970">
      <c r="F970" s="88"/>
      <c r="G970" s="53"/>
    </row>
    <row r="971">
      <c r="F971" s="88"/>
      <c r="G971" s="53"/>
    </row>
    <row r="972">
      <c r="F972" s="88"/>
      <c r="G972" s="53"/>
    </row>
    <row r="973">
      <c r="F973" s="88"/>
      <c r="G973" s="53"/>
    </row>
    <row r="974">
      <c r="F974" s="88"/>
      <c r="G974" s="53"/>
    </row>
    <row r="975">
      <c r="F975" s="88"/>
      <c r="G975" s="53"/>
    </row>
    <row r="976">
      <c r="F976" s="88"/>
      <c r="G976" s="53"/>
    </row>
    <row r="977">
      <c r="F977" s="88"/>
      <c r="G977" s="53"/>
    </row>
    <row r="978">
      <c r="F978" s="88"/>
      <c r="G978" s="53"/>
    </row>
    <row r="979">
      <c r="F979" s="88"/>
      <c r="G979" s="53"/>
    </row>
    <row r="980">
      <c r="F980" s="88"/>
      <c r="G980" s="53"/>
    </row>
    <row r="981">
      <c r="F981" s="88"/>
      <c r="G981" s="53"/>
    </row>
    <row r="982">
      <c r="F982" s="88"/>
      <c r="G982" s="53"/>
    </row>
    <row r="983">
      <c r="F983" s="88"/>
      <c r="G983" s="53"/>
    </row>
    <row r="984">
      <c r="F984" s="88"/>
      <c r="G984" s="53"/>
    </row>
    <row r="985">
      <c r="F985" s="88"/>
      <c r="G985" s="53"/>
    </row>
    <row r="986">
      <c r="F986" s="88"/>
      <c r="G986" s="53"/>
    </row>
    <row r="987">
      <c r="F987" s="88"/>
      <c r="G987" s="53"/>
    </row>
    <row r="988">
      <c r="F988" s="88"/>
      <c r="G988" s="53"/>
    </row>
    <row r="989">
      <c r="F989" s="88"/>
      <c r="G989" s="53"/>
    </row>
    <row r="990">
      <c r="F990" s="88"/>
      <c r="G990" s="53"/>
    </row>
    <row r="991">
      <c r="F991" s="88"/>
      <c r="G991" s="53"/>
    </row>
    <row r="992">
      <c r="F992" s="88"/>
      <c r="G992" s="53"/>
    </row>
    <row r="993">
      <c r="F993" s="88"/>
      <c r="G993" s="53"/>
    </row>
    <row r="994">
      <c r="F994" s="88"/>
      <c r="G994" s="53"/>
    </row>
    <row r="995">
      <c r="F995" s="88"/>
      <c r="G995" s="53"/>
    </row>
    <row r="996">
      <c r="F996" s="88"/>
      <c r="G996" s="53"/>
    </row>
    <row r="997">
      <c r="F997" s="88"/>
      <c r="G997" s="53"/>
    </row>
    <row r="998">
      <c r="F998" s="88"/>
      <c r="G998" s="53"/>
    </row>
    <row r="999">
      <c r="F999" s="88"/>
      <c r="G999" s="53"/>
    </row>
    <row r="1000">
      <c r="F1000" s="88"/>
      <c r="G1000" s="53"/>
    </row>
    <row r="1001">
      <c r="F1001" s="88"/>
      <c r="G1001" s="53"/>
    </row>
    <row r="1002">
      <c r="F1002" s="88"/>
      <c r="G1002" s="53"/>
    </row>
    <row r="1003">
      <c r="F1003" s="88"/>
      <c r="G1003" s="53"/>
    </row>
    <row r="1004">
      <c r="F1004" s="88"/>
      <c r="G1004" s="53"/>
    </row>
    <row r="1005">
      <c r="F1005" s="88"/>
      <c r="G1005" s="53"/>
    </row>
  </sheetData>
  <mergeCells count="6">
    <mergeCell ref="A1:D1"/>
    <mergeCell ref="A9:D9"/>
    <mergeCell ref="A16:D16"/>
    <mergeCell ref="A22:D22"/>
    <mergeCell ref="A27:D27"/>
    <mergeCell ref="A32:D32"/>
  </mergeCells>
  <hyperlinks>
    <hyperlink r:id="rId1" ref="G2"/>
    <hyperlink r:id="rId2" ref="G3"/>
    <hyperlink r:id="rId3" ref="G4"/>
    <hyperlink r:id="rId4" ref="G5"/>
    <hyperlink r:id="rId5" ref="G7"/>
    <hyperlink r:id="rId6" ref="G10"/>
    <hyperlink r:id="rId7" ref="G11"/>
    <hyperlink r:id="rId8" ref="G12"/>
    <hyperlink r:id="rId9" ref="G14"/>
    <hyperlink r:id="rId10" ref="G24"/>
    <hyperlink r:id="rId11" ref="G25"/>
    <hyperlink r:id="rId12" ref="G28"/>
    <hyperlink r:id="rId13" ref="G29"/>
    <hyperlink r:id="rId14" ref="G30"/>
    <hyperlink r:id="rId15" ref="G33"/>
    <hyperlink r:id="rId16" ref="G37"/>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17.14"/>
    <col customWidth="1" min="3" max="3" width="37.29"/>
    <col customWidth="1" min="4" max="4" width="45.43"/>
    <col customWidth="1" min="6" max="6" width="15.14"/>
    <col customWidth="1" min="7" max="7" width="269.29"/>
    <col customWidth="1" min="10" max="10" width="24.14"/>
    <col customWidth="1" min="13" max="13" width="17.14"/>
  </cols>
  <sheetData>
    <row r="1">
      <c r="A1" s="4" t="s">
        <v>0</v>
      </c>
      <c r="B1" s="6"/>
      <c r="C1" s="6"/>
      <c r="D1" s="6"/>
      <c r="E1" s="15" t="s">
        <v>13</v>
      </c>
      <c r="F1" s="15" t="s">
        <v>20</v>
      </c>
      <c r="G1" s="15" t="s">
        <v>4</v>
      </c>
      <c r="H1" s="15"/>
    </row>
    <row r="2">
      <c r="A2" s="5" t="s">
        <v>1</v>
      </c>
      <c r="B2" s="7" t="s">
        <v>2</v>
      </c>
      <c r="C2" s="11" t="s">
        <v>6</v>
      </c>
      <c r="D2" s="12" t="s">
        <v>7</v>
      </c>
      <c r="E2" s="15" t="s">
        <v>35</v>
      </c>
      <c r="F2" s="16">
        <v>5.0</v>
      </c>
      <c r="G2" s="15" t="s">
        <v>41</v>
      </c>
      <c r="H2" s="15"/>
      <c r="J2" s="17" t="s">
        <v>43</v>
      </c>
      <c r="K2" s="8" t="s">
        <v>45</v>
      </c>
      <c r="L2" s="8" t="s">
        <v>46</v>
      </c>
      <c r="M2" s="8" t="s">
        <v>47</v>
      </c>
    </row>
    <row r="3">
      <c r="A3" s="5" t="s">
        <v>12</v>
      </c>
      <c r="B3" s="7" t="s">
        <v>2</v>
      </c>
      <c r="C3" s="11" t="s">
        <v>14</v>
      </c>
      <c r="D3" s="12" t="s">
        <v>15</v>
      </c>
      <c r="E3" s="15" t="s">
        <v>49</v>
      </c>
      <c r="F3" s="16">
        <v>4.0</v>
      </c>
      <c r="G3" s="15" t="s">
        <v>50</v>
      </c>
      <c r="H3" s="15"/>
      <c r="J3" s="8" t="s">
        <v>2</v>
      </c>
      <c r="K3" s="8">
        <f>F8</f>
        <v>25</v>
      </c>
      <c r="L3" s="8">
        <v>30.0</v>
      </c>
      <c r="M3" s="28">
        <f t="shared" ref="M3:M9" si="1">K3/L3</f>
        <v>0.8333333333</v>
      </c>
    </row>
    <row r="4">
      <c r="A4" s="5" t="s">
        <v>18</v>
      </c>
      <c r="B4" s="7" t="s">
        <v>2</v>
      </c>
      <c r="C4" s="11" t="s">
        <v>19</v>
      </c>
      <c r="D4" s="12" t="s">
        <v>21</v>
      </c>
      <c r="E4" s="15" t="s">
        <v>35</v>
      </c>
      <c r="F4" s="16">
        <v>5.0</v>
      </c>
      <c r="G4" s="15" t="s">
        <v>75</v>
      </c>
      <c r="H4" s="15"/>
      <c r="J4" s="8" t="s">
        <v>51</v>
      </c>
      <c r="K4" s="8">
        <f>F15</f>
        <v>15</v>
      </c>
      <c r="L4" s="8">
        <v>25.0</v>
      </c>
      <c r="M4" s="28">
        <f t="shared" si="1"/>
        <v>0.6</v>
      </c>
    </row>
    <row r="5">
      <c r="A5" s="5" t="s">
        <v>24</v>
      </c>
      <c r="B5" s="7" t="s">
        <v>2</v>
      </c>
      <c r="C5" s="11" t="s">
        <v>25</v>
      </c>
      <c r="D5" s="12" t="s">
        <v>26</v>
      </c>
      <c r="E5" s="15" t="s">
        <v>35</v>
      </c>
      <c r="F5" s="16">
        <v>5.0</v>
      </c>
      <c r="G5" s="15" t="s">
        <v>82</v>
      </c>
      <c r="H5" s="31"/>
      <c r="J5" s="8" t="s">
        <v>84</v>
      </c>
      <c r="K5" s="8">
        <f>F21</f>
        <v>12</v>
      </c>
      <c r="L5" s="8">
        <v>20.0</v>
      </c>
      <c r="M5" s="28">
        <f t="shared" si="1"/>
        <v>0.6</v>
      </c>
    </row>
    <row r="6">
      <c r="A6" s="5" t="s">
        <v>29</v>
      </c>
      <c r="B6" s="7" t="s">
        <v>2</v>
      </c>
      <c r="C6" s="11" t="s">
        <v>30</v>
      </c>
      <c r="D6" s="12" t="s">
        <v>31</v>
      </c>
      <c r="E6" s="15" t="s">
        <v>87</v>
      </c>
      <c r="F6" s="16">
        <v>3.0</v>
      </c>
      <c r="G6" s="15" t="s">
        <v>89</v>
      </c>
      <c r="H6" s="15"/>
      <c r="J6" s="8" t="s">
        <v>90</v>
      </c>
      <c r="K6" s="8">
        <f>F26</f>
        <v>10</v>
      </c>
      <c r="L6" s="8">
        <v>15.0</v>
      </c>
      <c r="M6" s="28">
        <f t="shared" si="1"/>
        <v>0.6666666667</v>
      </c>
    </row>
    <row r="7">
      <c r="A7" s="5" t="s">
        <v>36</v>
      </c>
      <c r="B7" s="7" t="s">
        <v>2</v>
      </c>
      <c r="C7" s="11" t="s">
        <v>37</v>
      </c>
      <c r="D7" s="12" t="s">
        <v>38</v>
      </c>
      <c r="E7" s="15" t="s">
        <v>105</v>
      </c>
      <c r="F7" s="16">
        <v>3.0</v>
      </c>
      <c r="G7" s="15" t="s">
        <v>108</v>
      </c>
      <c r="H7" s="15"/>
      <c r="J7" s="8" t="s">
        <v>110</v>
      </c>
      <c r="K7" s="8">
        <f>F31</f>
        <v>10</v>
      </c>
      <c r="L7" s="8">
        <v>15.0</v>
      </c>
      <c r="M7" s="28">
        <f t="shared" si="1"/>
        <v>0.6666666667</v>
      </c>
    </row>
    <row r="8">
      <c r="A8" s="39"/>
      <c r="B8" s="41"/>
      <c r="C8" s="43"/>
      <c r="D8" s="45"/>
      <c r="E8" s="46"/>
      <c r="F8" s="49">
        <f>SUM(F2:F7)</f>
        <v>25</v>
      </c>
      <c r="G8" s="49"/>
      <c r="H8" s="46"/>
      <c r="J8" s="8" t="s">
        <v>122</v>
      </c>
      <c r="K8" s="8">
        <f>F39</f>
        <v>25</v>
      </c>
      <c r="L8" s="8">
        <v>30.0</v>
      </c>
      <c r="M8" s="28">
        <f t="shared" si="1"/>
        <v>0.8333333333</v>
      </c>
    </row>
    <row r="9">
      <c r="A9" s="18" t="s">
        <v>44</v>
      </c>
      <c r="B9" s="19"/>
      <c r="C9" s="19"/>
      <c r="D9" s="21"/>
      <c r="E9" s="46"/>
      <c r="F9" s="46"/>
      <c r="G9" s="46"/>
      <c r="H9" s="46"/>
      <c r="K9" s="28">
        <f t="shared" ref="K9:L9" si="2">SUM(K3:K8)</f>
        <v>97</v>
      </c>
      <c r="L9" s="28">
        <f t="shared" si="2"/>
        <v>135</v>
      </c>
      <c r="M9" s="28">
        <f t="shared" si="1"/>
        <v>0.7185185185</v>
      </c>
    </row>
    <row r="10">
      <c r="A10" s="22" t="s">
        <v>48</v>
      </c>
      <c r="B10" s="23" t="s">
        <v>51</v>
      </c>
      <c r="C10" s="24" t="s">
        <v>52</v>
      </c>
      <c r="D10" s="26" t="s">
        <v>54</v>
      </c>
      <c r="E10" s="15" t="s">
        <v>87</v>
      </c>
      <c r="F10" s="16">
        <v>2.0</v>
      </c>
      <c r="G10" s="15" t="s">
        <v>147</v>
      </c>
      <c r="H10" s="15"/>
    </row>
    <row r="11">
      <c r="A11" s="22" t="s">
        <v>58</v>
      </c>
      <c r="B11" s="23" t="s">
        <v>51</v>
      </c>
      <c r="C11" s="24" t="s">
        <v>59</v>
      </c>
      <c r="D11" s="26" t="s">
        <v>60</v>
      </c>
      <c r="E11" s="15" t="s">
        <v>35</v>
      </c>
      <c r="F11" s="16">
        <v>4.0</v>
      </c>
      <c r="G11" s="15" t="s">
        <v>153</v>
      </c>
      <c r="H11" s="15"/>
    </row>
    <row r="12">
      <c r="A12" s="22" t="s">
        <v>63</v>
      </c>
      <c r="B12" s="23" t="s">
        <v>51</v>
      </c>
      <c r="C12" s="24" t="s">
        <v>64</v>
      </c>
      <c r="D12" s="26" t="s">
        <v>65</v>
      </c>
      <c r="E12" s="15" t="s">
        <v>35</v>
      </c>
      <c r="F12" s="16">
        <v>5.0</v>
      </c>
      <c r="G12" s="15" t="s">
        <v>155</v>
      </c>
      <c r="H12" s="15"/>
    </row>
    <row r="13">
      <c r="A13" s="22" t="s">
        <v>68</v>
      </c>
      <c r="B13" s="23" t="s">
        <v>51</v>
      </c>
      <c r="C13" s="24" t="s">
        <v>69</v>
      </c>
      <c r="D13" s="26" t="s">
        <v>70</v>
      </c>
      <c r="E13" s="15" t="s">
        <v>157</v>
      </c>
      <c r="F13" s="16">
        <v>2.0</v>
      </c>
      <c r="G13" s="15" t="s">
        <v>158</v>
      </c>
      <c r="H13" s="15"/>
    </row>
    <row r="14">
      <c r="A14" s="22" t="s">
        <v>73</v>
      </c>
      <c r="B14" s="23" t="s">
        <v>51</v>
      </c>
      <c r="C14" s="24" t="s">
        <v>74</v>
      </c>
      <c r="D14" s="26" t="s">
        <v>76</v>
      </c>
      <c r="E14" s="15" t="s">
        <v>157</v>
      </c>
      <c r="F14" s="16">
        <v>2.0</v>
      </c>
      <c r="G14" s="15" t="s">
        <v>160</v>
      </c>
      <c r="H14" s="15"/>
    </row>
    <row r="15">
      <c r="A15" s="61"/>
      <c r="B15" s="63"/>
      <c r="C15" s="64"/>
      <c r="D15" s="65"/>
      <c r="E15" s="46"/>
      <c r="F15" s="49">
        <f>SUM(F10:F14)</f>
        <v>15</v>
      </c>
      <c r="G15" s="49"/>
      <c r="H15" s="46"/>
    </row>
    <row r="16">
      <c r="A16" s="30" t="s">
        <v>81</v>
      </c>
      <c r="B16" s="19"/>
      <c r="C16" s="19"/>
      <c r="D16" s="21"/>
      <c r="E16" s="46"/>
      <c r="F16" s="46"/>
      <c r="G16" s="46"/>
      <c r="H16" s="46"/>
    </row>
    <row r="17">
      <c r="A17" s="32" t="s">
        <v>83</v>
      </c>
      <c r="B17" s="33" t="s">
        <v>84</v>
      </c>
      <c r="C17" s="34" t="s">
        <v>85</v>
      </c>
      <c r="D17" s="35" t="s">
        <v>86</v>
      </c>
      <c r="E17" s="15" t="s">
        <v>182</v>
      </c>
      <c r="F17" s="16">
        <v>2.0</v>
      </c>
      <c r="G17" s="15" t="s">
        <v>183</v>
      </c>
      <c r="H17" s="15"/>
    </row>
    <row r="18">
      <c r="A18" s="32" t="s">
        <v>93</v>
      </c>
      <c r="B18" s="33" t="s">
        <v>84</v>
      </c>
      <c r="C18" s="34" t="s">
        <v>94</v>
      </c>
      <c r="D18" s="35" t="s">
        <v>95</v>
      </c>
      <c r="E18" s="15" t="s">
        <v>87</v>
      </c>
      <c r="F18" s="16">
        <v>2.0</v>
      </c>
      <c r="G18" s="15" t="s">
        <v>186</v>
      </c>
      <c r="H18" s="15"/>
    </row>
    <row r="19">
      <c r="A19" s="32" t="s">
        <v>99</v>
      </c>
      <c r="B19" s="33" t="s">
        <v>84</v>
      </c>
      <c r="C19" s="34" t="s">
        <v>100</v>
      </c>
      <c r="D19" s="35" t="s">
        <v>101</v>
      </c>
      <c r="E19" s="15" t="s">
        <v>87</v>
      </c>
      <c r="F19" s="16">
        <v>3.0</v>
      </c>
      <c r="G19" s="15" t="s">
        <v>188</v>
      </c>
      <c r="H19" s="15"/>
    </row>
    <row r="20">
      <c r="A20" s="32" t="s">
        <v>104</v>
      </c>
      <c r="B20" s="33" t="s">
        <v>84</v>
      </c>
      <c r="C20" s="34" t="s">
        <v>106</v>
      </c>
      <c r="D20" s="35" t="s">
        <v>107</v>
      </c>
      <c r="E20" s="15" t="s">
        <v>35</v>
      </c>
      <c r="F20" s="16">
        <v>5.0</v>
      </c>
      <c r="G20" s="15" t="s">
        <v>191</v>
      </c>
      <c r="H20" s="15"/>
    </row>
    <row r="21">
      <c r="A21" s="71"/>
      <c r="B21" s="72"/>
      <c r="C21" s="73"/>
      <c r="D21" s="74"/>
      <c r="E21" s="46"/>
      <c r="F21" s="49">
        <f>SUM(F17:F20)</f>
        <v>12</v>
      </c>
      <c r="G21" s="46"/>
      <c r="H21" s="46"/>
    </row>
    <row r="22">
      <c r="A22" s="38" t="s">
        <v>112</v>
      </c>
      <c r="B22" s="19"/>
      <c r="C22" s="19"/>
      <c r="D22" s="21"/>
      <c r="E22" s="46"/>
      <c r="F22" s="46"/>
      <c r="G22" s="46"/>
      <c r="H22" s="46"/>
    </row>
    <row r="23">
      <c r="A23" s="40" t="s">
        <v>113</v>
      </c>
      <c r="B23" s="42" t="s">
        <v>90</v>
      </c>
      <c r="C23" s="44" t="s">
        <v>114</v>
      </c>
      <c r="D23" s="47" t="s">
        <v>115</v>
      </c>
      <c r="E23" s="15" t="s">
        <v>35</v>
      </c>
      <c r="F23" s="16">
        <v>4.0</v>
      </c>
      <c r="G23" s="15" t="s">
        <v>200</v>
      </c>
      <c r="H23" s="15"/>
    </row>
    <row r="24">
      <c r="A24" s="40" t="s">
        <v>120</v>
      </c>
      <c r="B24" s="42" t="s">
        <v>90</v>
      </c>
      <c r="C24" s="44" t="s">
        <v>121</v>
      </c>
      <c r="D24" s="47" t="s">
        <v>123</v>
      </c>
      <c r="E24" s="15" t="s">
        <v>87</v>
      </c>
      <c r="F24" s="16">
        <v>2.0</v>
      </c>
      <c r="G24" s="15" t="s">
        <v>202</v>
      </c>
      <c r="H24" s="15"/>
    </row>
    <row r="25">
      <c r="A25" s="40" t="s">
        <v>126</v>
      </c>
      <c r="B25" s="42" t="s">
        <v>90</v>
      </c>
      <c r="C25" s="44" t="s">
        <v>127</v>
      </c>
      <c r="D25" s="47" t="s">
        <v>128</v>
      </c>
      <c r="E25" s="15" t="s">
        <v>35</v>
      </c>
      <c r="F25" s="16">
        <v>4.0</v>
      </c>
      <c r="G25" s="15" t="s">
        <v>205</v>
      </c>
      <c r="H25" s="15"/>
    </row>
    <row r="26">
      <c r="A26" s="75"/>
      <c r="B26" s="76"/>
      <c r="C26" s="77"/>
      <c r="D26" s="78"/>
      <c r="E26" s="46"/>
      <c r="F26" s="49">
        <f>SUM(F23:F25)</f>
        <v>10</v>
      </c>
      <c r="G26" s="49"/>
      <c r="H26" s="79"/>
    </row>
    <row r="27">
      <c r="A27" s="50" t="s">
        <v>132</v>
      </c>
      <c r="B27" s="19"/>
      <c r="C27" s="19"/>
      <c r="D27" s="21"/>
      <c r="E27" s="46"/>
      <c r="F27" s="46"/>
      <c r="G27" s="46"/>
      <c r="H27" s="46"/>
    </row>
    <row r="28">
      <c r="A28" s="51" t="s">
        <v>134</v>
      </c>
      <c r="B28" s="52" t="s">
        <v>110</v>
      </c>
      <c r="C28" s="54" t="s">
        <v>136</v>
      </c>
      <c r="D28" s="55" t="s">
        <v>137</v>
      </c>
      <c r="E28" s="15" t="s">
        <v>210</v>
      </c>
      <c r="F28" s="16">
        <v>4.0</v>
      </c>
      <c r="G28" s="15" t="s">
        <v>211</v>
      </c>
      <c r="H28" s="15"/>
    </row>
    <row r="29">
      <c r="A29" s="51" t="s">
        <v>140</v>
      </c>
      <c r="B29" s="52" t="s">
        <v>110</v>
      </c>
      <c r="C29" s="54" t="s">
        <v>141</v>
      </c>
      <c r="D29" s="55" t="s">
        <v>142</v>
      </c>
      <c r="E29" s="15" t="s">
        <v>87</v>
      </c>
      <c r="F29" s="16">
        <v>3.0</v>
      </c>
      <c r="G29" s="15" t="s">
        <v>212</v>
      </c>
      <c r="H29" s="15"/>
    </row>
    <row r="30">
      <c r="A30" s="51" t="s">
        <v>146</v>
      </c>
      <c r="B30" s="52" t="s">
        <v>110</v>
      </c>
      <c r="C30" s="54" t="s">
        <v>149</v>
      </c>
      <c r="D30" s="55" t="s">
        <v>150</v>
      </c>
      <c r="E30" s="15" t="s">
        <v>87</v>
      </c>
      <c r="F30" s="16">
        <v>3.0</v>
      </c>
      <c r="G30" s="15" t="s">
        <v>216</v>
      </c>
      <c r="H30" s="15"/>
    </row>
    <row r="31">
      <c r="A31" s="80"/>
      <c r="B31" s="81"/>
      <c r="C31" s="82"/>
      <c r="D31" s="83"/>
      <c r="E31" s="46"/>
      <c r="F31" s="49">
        <f>SUM(F28:F30)</f>
        <v>10</v>
      </c>
      <c r="G31" s="49"/>
      <c r="H31" s="46"/>
    </row>
    <row r="32">
      <c r="A32" s="57" t="s">
        <v>122</v>
      </c>
      <c r="B32" s="58"/>
      <c r="C32" s="58"/>
      <c r="D32" s="59"/>
      <c r="E32" s="46"/>
      <c r="F32" s="46"/>
      <c r="G32" s="46"/>
      <c r="H32" s="46"/>
    </row>
    <row r="33">
      <c r="A33" s="60" t="s">
        <v>159</v>
      </c>
      <c r="B33" s="62" t="s">
        <v>122</v>
      </c>
      <c r="C33" s="62" t="s">
        <v>161</v>
      </c>
      <c r="D33" s="62" t="s">
        <v>162</v>
      </c>
      <c r="E33" s="15" t="s">
        <v>35</v>
      </c>
      <c r="F33" s="16">
        <v>5.0</v>
      </c>
      <c r="G33" s="15" t="s">
        <v>221</v>
      </c>
      <c r="H33" s="15"/>
    </row>
    <row r="34">
      <c r="A34" s="60" t="s">
        <v>165</v>
      </c>
      <c r="B34" s="62" t="s">
        <v>122</v>
      </c>
      <c r="C34" s="62" t="s">
        <v>166</v>
      </c>
      <c r="D34" s="62" t="s">
        <v>167</v>
      </c>
      <c r="E34" s="15" t="s">
        <v>35</v>
      </c>
      <c r="F34" s="16">
        <v>4.0</v>
      </c>
      <c r="G34" s="15" t="s">
        <v>224</v>
      </c>
      <c r="H34" s="15"/>
    </row>
    <row r="35">
      <c r="A35" s="60" t="s">
        <v>170</v>
      </c>
      <c r="B35" s="62" t="s">
        <v>122</v>
      </c>
      <c r="C35" s="62" t="s">
        <v>171</v>
      </c>
      <c r="D35" s="62" t="s">
        <v>172</v>
      </c>
      <c r="E35" s="15" t="s">
        <v>87</v>
      </c>
      <c r="F35" s="16">
        <v>3.0</v>
      </c>
      <c r="G35" s="15" t="s">
        <v>226</v>
      </c>
      <c r="H35" s="15"/>
    </row>
    <row r="36">
      <c r="A36" s="60" t="s">
        <v>175</v>
      </c>
      <c r="B36" s="62" t="s">
        <v>122</v>
      </c>
      <c r="C36" s="62" t="s">
        <v>176</v>
      </c>
      <c r="D36" s="62" t="s">
        <v>177</v>
      </c>
      <c r="E36" s="15" t="s">
        <v>227</v>
      </c>
      <c r="F36" s="16">
        <v>4.0</v>
      </c>
      <c r="G36" s="15" t="s">
        <v>228</v>
      </c>
      <c r="H36" s="15"/>
    </row>
    <row r="37">
      <c r="A37" s="66" t="s">
        <v>184</v>
      </c>
      <c r="B37" s="62" t="s">
        <v>122</v>
      </c>
      <c r="C37" s="67" t="s">
        <v>185</v>
      </c>
      <c r="D37" s="68" t="s">
        <v>187</v>
      </c>
      <c r="E37" s="15" t="s">
        <v>210</v>
      </c>
      <c r="F37" s="16">
        <v>4.0</v>
      </c>
      <c r="G37" s="15" t="s">
        <v>229</v>
      </c>
      <c r="H37" s="15"/>
    </row>
    <row r="38">
      <c r="A38" s="66" t="s">
        <v>192</v>
      </c>
      <c r="B38" s="62" t="s">
        <v>122</v>
      </c>
      <c r="C38" s="67" t="s">
        <v>193</v>
      </c>
      <c r="D38" s="68" t="s">
        <v>194</v>
      </c>
      <c r="E38" s="15" t="s">
        <v>35</v>
      </c>
      <c r="F38" s="16">
        <v>5.0</v>
      </c>
      <c r="G38" s="15" t="s">
        <v>231</v>
      </c>
      <c r="H38" s="15"/>
    </row>
    <row r="39">
      <c r="A39" s="84"/>
      <c r="B39" s="85"/>
      <c r="C39" s="86"/>
      <c r="D39" s="87"/>
      <c r="E39" s="46"/>
      <c r="F39" s="49">
        <f>SUM(F33:F38)</f>
        <v>25</v>
      </c>
      <c r="G39" s="46"/>
      <c r="H39" s="46"/>
    </row>
    <row r="40">
      <c r="E40" s="46"/>
      <c r="F40" s="46"/>
      <c r="G40" s="46"/>
      <c r="H40" s="46"/>
    </row>
    <row r="41">
      <c r="E41" s="46"/>
      <c r="F41" s="46"/>
      <c r="G41" s="46"/>
      <c r="H41" s="46"/>
    </row>
    <row r="42">
      <c r="E42" s="46"/>
      <c r="F42" s="46"/>
      <c r="G42" s="46"/>
      <c r="H42" s="46"/>
    </row>
    <row r="43">
      <c r="E43" s="46"/>
      <c r="F43" s="46"/>
      <c r="G43" s="46"/>
      <c r="H43" s="46"/>
    </row>
    <row r="44">
      <c r="E44" s="46"/>
      <c r="F44" s="46"/>
      <c r="G44" s="46"/>
      <c r="H44" s="46"/>
    </row>
    <row r="45">
      <c r="E45" s="46"/>
      <c r="F45" s="46"/>
      <c r="G45" s="46"/>
      <c r="H45" s="46"/>
    </row>
    <row r="46">
      <c r="E46" s="46"/>
      <c r="F46" s="46"/>
      <c r="G46" s="46"/>
      <c r="H46" s="46"/>
    </row>
    <row r="47">
      <c r="E47" s="46"/>
      <c r="F47" s="46"/>
      <c r="G47" s="46"/>
      <c r="H47" s="46"/>
    </row>
    <row r="48">
      <c r="F48" s="88"/>
      <c r="G48" s="53"/>
    </row>
    <row r="49">
      <c r="F49" s="88"/>
      <c r="G49" s="53"/>
    </row>
    <row r="50">
      <c r="F50" s="88"/>
      <c r="G50" s="53"/>
    </row>
    <row r="51">
      <c r="F51" s="88"/>
      <c r="G51" s="53"/>
    </row>
    <row r="52">
      <c r="F52" s="88"/>
      <c r="G52" s="53"/>
    </row>
    <row r="53">
      <c r="F53" s="88"/>
      <c r="G53" s="53"/>
    </row>
    <row r="54">
      <c r="F54" s="88"/>
      <c r="G54" s="53"/>
    </row>
    <row r="55">
      <c r="F55" s="88"/>
      <c r="G55" s="53"/>
    </row>
    <row r="56">
      <c r="F56" s="88"/>
      <c r="G56" s="53"/>
    </row>
    <row r="57">
      <c r="F57" s="88"/>
      <c r="G57" s="53"/>
    </row>
    <row r="58">
      <c r="F58" s="88"/>
      <c r="G58" s="53"/>
    </row>
    <row r="59">
      <c r="F59" s="88"/>
      <c r="G59" s="53"/>
    </row>
    <row r="60">
      <c r="F60" s="88"/>
      <c r="G60" s="53"/>
    </row>
    <row r="61">
      <c r="F61" s="88"/>
      <c r="G61" s="53"/>
    </row>
    <row r="62">
      <c r="F62" s="88"/>
      <c r="G62" s="53"/>
    </row>
    <row r="63">
      <c r="F63" s="88"/>
      <c r="G63" s="53"/>
    </row>
    <row r="64">
      <c r="F64" s="88"/>
      <c r="G64" s="53"/>
    </row>
    <row r="65">
      <c r="F65" s="88"/>
      <c r="G65" s="53"/>
    </row>
    <row r="66">
      <c r="F66" s="88"/>
      <c r="G66" s="53"/>
    </row>
    <row r="67">
      <c r="F67" s="88"/>
      <c r="G67" s="53"/>
    </row>
    <row r="68">
      <c r="F68" s="88"/>
      <c r="G68" s="53"/>
    </row>
    <row r="69">
      <c r="F69" s="88"/>
      <c r="G69" s="53"/>
    </row>
    <row r="70">
      <c r="F70" s="88"/>
      <c r="G70" s="53"/>
    </row>
    <row r="71">
      <c r="F71" s="88"/>
      <c r="G71" s="53"/>
    </row>
    <row r="72">
      <c r="F72" s="88"/>
      <c r="G72" s="53"/>
    </row>
    <row r="73">
      <c r="F73" s="88"/>
      <c r="G73" s="53"/>
    </row>
    <row r="74">
      <c r="F74" s="88"/>
      <c r="G74" s="53"/>
    </row>
    <row r="75">
      <c r="F75" s="88"/>
      <c r="G75" s="53"/>
    </row>
    <row r="76">
      <c r="F76" s="88"/>
      <c r="G76" s="53"/>
    </row>
    <row r="77">
      <c r="F77" s="88"/>
      <c r="G77" s="53"/>
    </row>
    <row r="78">
      <c r="F78" s="88"/>
      <c r="G78" s="53"/>
    </row>
    <row r="79">
      <c r="F79" s="88"/>
      <c r="G79" s="53"/>
    </row>
    <row r="80">
      <c r="F80" s="88"/>
      <c r="G80" s="53"/>
    </row>
    <row r="81">
      <c r="F81" s="88"/>
      <c r="G81" s="53"/>
    </row>
    <row r="82">
      <c r="F82" s="88"/>
      <c r="G82" s="53"/>
    </row>
    <row r="83">
      <c r="F83" s="88"/>
      <c r="G83" s="53"/>
    </row>
    <row r="84">
      <c r="F84" s="88"/>
      <c r="G84" s="53"/>
    </row>
    <row r="85">
      <c r="F85" s="88"/>
      <c r="G85" s="53"/>
    </row>
    <row r="86">
      <c r="F86" s="88"/>
      <c r="G86" s="53"/>
    </row>
    <row r="87">
      <c r="F87" s="88"/>
      <c r="G87" s="53"/>
    </row>
    <row r="88">
      <c r="F88" s="88"/>
      <c r="G88" s="53"/>
    </row>
    <row r="89">
      <c r="F89" s="88"/>
      <c r="G89" s="53"/>
    </row>
    <row r="90">
      <c r="F90" s="88"/>
      <c r="G90" s="53"/>
    </row>
    <row r="91">
      <c r="F91" s="88"/>
      <c r="G91" s="53"/>
    </row>
    <row r="92">
      <c r="F92" s="88"/>
      <c r="G92" s="53"/>
    </row>
    <row r="93">
      <c r="F93" s="88"/>
      <c r="G93" s="53"/>
    </row>
    <row r="94">
      <c r="F94" s="88"/>
      <c r="G94" s="53"/>
    </row>
    <row r="95">
      <c r="F95" s="88"/>
      <c r="G95" s="53"/>
    </row>
    <row r="96">
      <c r="F96" s="88"/>
      <c r="G96" s="53"/>
    </row>
    <row r="97">
      <c r="F97" s="88"/>
      <c r="G97" s="53"/>
    </row>
    <row r="98">
      <c r="F98" s="88"/>
      <c r="G98" s="53"/>
    </row>
    <row r="99">
      <c r="F99" s="88"/>
      <c r="G99" s="53"/>
    </row>
    <row r="100">
      <c r="F100" s="88"/>
      <c r="G100" s="53"/>
    </row>
    <row r="101">
      <c r="F101" s="88"/>
      <c r="G101" s="53"/>
    </row>
    <row r="102">
      <c r="F102" s="88"/>
      <c r="G102" s="53"/>
    </row>
    <row r="103">
      <c r="F103" s="88"/>
      <c r="G103" s="53"/>
    </row>
    <row r="104">
      <c r="F104" s="88"/>
      <c r="G104" s="53"/>
    </row>
    <row r="105">
      <c r="F105" s="88"/>
      <c r="G105" s="53"/>
    </row>
    <row r="106">
      <c r="F106" s="88"/>
      <c r="G106" s="53"/>
    </row>
    <row r="107">
      <c r="F107" s="88"/>
      <c r="G107" s="53"/>
    </row>
    <row r="108">
      <c r="F108" s="88"/>
      <c r="G108" s="53"/>
    </row>
    <row r="109">
      <c r="F109" s="88"/>
      <c r="G109" s="53"/>
    </row>
    <row r="110">
      <c r="F110" s="88"/>
      <c r="G110" s="53"/>
    </row>
    <row r="111">
      <c r="F111" s="88"/>
      <c r="G111" s="53"/>
    </row>
    <row r="112">
      <c r="F112" s="88"/>
      <c r="G112" s="53"/>
    </row>
    <row r="113">
      <c r="F113" s="88"/>
      <c r="G113" s="53"/>
    </row>
    <row r="114">
      <c r="F114" s="88"/>
      <c r="G114" s="53"/>
    </row>
    <row r="115">
      <c r="F115" s="88"/>
      <c r="G115" s="53"/>
    </row>
    <row r="116">
      <c r="F116" s="88"/>
      <c r="G116" s="53"/>
    </row>
    <row r="117">
      <c r="F117" s="88"/>
      <c r="G117" s="53"/>
    </row>
    <row r="118">
      <c r="F118" s="88"/>
      <c r="G118" s="53"/>
    </row>
    <row r="119">
      <c r="F119" s="88"/>
      <c r="G119" s="53"/>
    </row>
    <row r="120">
      <c r="F120" s="88"/>
      <c r="G120" s="53"/>
    </row>
    <row r="121">
      <c r="F121" s="88"/>
      <c r="G121" s="53"/>
    </row>
    <row r="122">
      <c r="F122" s="88"/>
      <c r="G122" s="53"/>
    </row>
    <row r="123">
      <c r="F123" s="88"/>
      <c r="G123" s="53"/>
    </row>
    <row r="124">
      <c r="F124" s="88"/>
      <c r="G124" s="53"/>
    </row>
    <row r="125">
      <c r="F125" s="88"/>
      <c r="G125" s="53"/>
    </row>
    <row r="126">
      <c r="F126" s="88"/>
      <c r="G126" s="53"/>
    </row>
    <row r="127">
      <c r="F127" s="88"/>
      <c r="G127" s="53"/>
    </row>
    <row r="128">
      <c r="F128" s="88"/>
      <c r="G128" s="53"/>
    </row>
    <row r="129">
      <c r="F129" s="88"/>
      <c r="G129" s="53"/>
    </row>
    <row r="130">
      <c r="F130" s="88"/>
      <c r="G130" s="53"/>
    </row>
    <row r="131">
      <c r="F131" s="88"/>
      <c r="G131" s="53"/>
    </row>
    <row r="132">
      <c r="F132" s="88"/>
      <c r="G132" s="53"/>
    </row>
    <row r="133">
      <c r="F133" s="88"/>
      <c r="G133" s="53"/>
    </row>
    <row r="134">
      <c r="F134" s="88"/>
      <c r="G134" s="53"/>
    </row>
    <row r="135">
      <c r="F135" s="88"/>
      <c r="G135" s="53"/>
    </row>
    <row r="136">
      <c r="F136" s="88"/>
      <c r="G136" s="53"/>
    </row>
    <row r="137">
      <c r="F137" s="88"/>
      <c r="G137" s="53"/>
    </row>
    <row r="138">
      <c r="F138" s="88"/>
      <c r="G138" s="53"/>
    </row>
    <row r="139">
      <c r="F139" s="88"/>
      <c r="G139" s="53"/>
    </row>
    <row r="140">
      <c r="F140" s="88"/>
      <c r="G140" s="53"/>
    </row>
    <row r="141">
      <c r="F141" s="88"/>
      <c r="G141" s="53"/>
    </row>
    <row r="142">
      <c r="F142" s="88"/>
      <c r="G142" s="53"/>
    </row>
    <row r="143">
      <c r="F143" s="88"/>
      <c r="G143" s="53"/>
    </row>
    <row r="144">
      <c r="F144" s="88"/>
      <c r="G144" s="53"/>
    </row>
    <row r="145">
      <c r="F145" s="88"/>
      <c r="G145" s="53"/>
    </row>
    <row r="146">
      <c r="F146" s="88"/>
      <c r="G146" s="53"/>
    </row>
    <row r="147">
      <c r="F147" s="88"/>
      <c r="G147" s="53"/>
    </row>
    <row r="148">
      <c r="F148" s="88"/>
      <c r="G148" s="53"/>
    </row>
    <row r="149">
      <c r="F149" s="88"/>
      <c r="G149" s="53"/>
    </row>
    <row r="150">
      <c r="F150" s="88"/>
      <c r="G150" s="53"/>
    </row>
    <row r="151">
      <c r="F151" s="88"/>
      <c r="G151" s="53"/>
    </row>
    <row r="152">
      <c r="F152" s="88"/>
      <c r="G152" s="53"/>
    </row>
    <row r="153">
      <c r="F153" s="88"/>
      <c r="G153" s="53"/>
    </row>
    <row r="154">
      <c r="F154" s="88"/>
      <c r="G154" s="53"/>
    </row>
    <row r="155">
      <c r="F155" s="88"/>
      <c r="G155" s="53"/>
    </row>
    <row r="156">
      <c r="F156" s="88"/>
      <c r="G156" s="53"/>
    </row>
    <row r="157">
      <c r="F157" s="88"/>
      <c r="G157" s="53"/>
    </row>
    <row r="158">
      <c r="F158" s="88"/>
      <c r="G158" s="53"/>
    </row>
    <row r="159">
      <c r="F159" s="88"/>
      <c r="G159" s="53"/>
    </row>
    <row r="160">
      <c r="F160" s="88"/>
      <c r="G160" s="53"/>
    </row>
    <row r="161">
      <c r="F161" s="88"/>
      <c r="G161" s="53"/>
    </row>
    <row r="162">
      <c r="F162" s="88"/>
      <c r="G162" s="53"/>
    </row>
    <row r="163">
      <c r="F163" s="88"/>
      <c r="G163" s="53"/>
    </row>
    <row r="164">
      <c r="F164" s="88"/>
      <c r="G164" s="53"/>
    </row>
    <row r="165">
      <c r="F165" s="88"/>
      <c r="G165" s="53"/>
    </row>
    <row r="166">
      <c r="F166" s="88"/>
      <c r="G166" s="53"/>
    </row>
    <row r="167">
      <c r="F167" s="88"/>
      <c r="G167" s="53"/>
    </row>
    <row r="168">
      <c r="F168" s="88"/>
      <c r="G168" s="53"/>
    </row>
    <row r="169">
      <c r="F169" s="88"/>
      <c r="G169" s="53"/>
    </row>
    <row r="170">
      <c r="F170" s="88"/>
      <c r="G170" s="53"/>
    </row>
    <row r="171">
      <c r="F171" s="88"/>
      <c r="G171" s="53"/>
    </row>
    <row r="172">
      <c r="F172" s="88"/>
      <c r="G172" s="53"/>
    </row>
    <row r="173">
      <c r="F173" s="88"/>
      <c r="G173" s="53"/>
    </row>
    <row r="174">
      <c r="F174" s="88"/>
      <c r="G174" s="53"/>
    </row>
    <row r="175">
      <c r="F175" s="88"/>
      <c r="G175" s="53"/>
    </row>
    <row r="176">
      <c r="F176" s="88"/>
      <c r="G176" s="53"/>
    </row>
    <row r="177">
      <c r="F177" s="88"/>
      <c r="G177" s="53"/>
    </row>
    <row r="178">
      <c r="F178" s="88"/>
      <c r="G178" s="53"/>
    </row>
    <row r="179">
      <c r="F179" s="88"/>
      <c r="G179" s="53"/>
    </row>
    <row r="180">
      <c r="F180" s="88"/>
      <c r="G180" s="53"/>
    </row>
    <row r="181">
      <c r="F181" s="88"/>
      <c r="G181" s="53"/>
    </row>
    <row r="182">
      <c r="F182" s="88"/>
      <c r="G182" s="53"/>
    </row>
    <row r="183">
      <c r="F183" s="88"/>
      <c r="G183" s="53"/>
    </row>
    <row r="184">
      <c r="F184" s="88"/>
      <c r="G184" s="53"/>
    </row>
    <row r="185">
      <c r="F185" s="88"/>
      <c r="G185" s="53"/>
    </row>
    <row r="186">
      <c r="F186" s="88"/>
      <c r="G186" s="53"/>
    </row>
    <row r="187">
      <c r="F187" s="88"/>
      <c r="G187" s="53"/>
    </row>
    <row r="188">
      <c r="F188" s="88"/>
      <c r="G188" s="53"/>
    </row>
    <row r="189">
      <c r="F189" s="88"/>
      <c r="G189" s="53"/>
    </row>
    <row r="190">
      <c r="F190" s="88"/>
      <c r="G190" s="53"/>
    </row>
    <row r="191">
      <c r="F191" s="88"/>
      <c r="G191" s="53"/>
    </row>
    <row r="192">
      <c r="F192" s="88"/>
      <c r="G192" s="53"/>
    </row>
    <row r="193">
      <c r="F193" s="88"/>
      <c r="G193" s="53"/>
    </row>
    <row r="194">
      <c r="F194" s="88"/>
      <c r="G194" s="53"/>
    </row>
    <row r="195">
      <c r="F195" s="88"/>
      <c r="G195" s="53"/>
    </row>
    <row r="196">
      <c r="F196" s="88"/>
      <c r="G196" s="53"/>
    </row>
    <row r="197">
      <c r="F197" s="88"/>
      <c r="G197" s="53"/>
    </row>
    <row r="198">
      <c r="F198" s="88"/>
      <c r="G198" s="53"/>
    </row>
    <row r="199">
      <c r="F199" s="88"/>
      <c r="G199" s="53"/>
    </row>
    <row r="200">
      <c r="F200" s="88"/>
      <c r="G200" s="53"/>
    </row>
    <row r="201">
      <c r="F201" s="88"/>
      <c r="G201" s="53"/>
    </row>
    <row r="202">
      <c r="F202" s="88"/>
      <c r="G202" s="53"/>
    </row>
    <row r="203">
      <c r="F203" s="88"/>
      <c r="G203" s="53"/>
    </row>
    <row r="204">
      <c r="F204" s="88"/>
      <c r="G204" s="53"/>
    </row>
    <row r="205">
      <c r="F205" s="88"/>
      <c r="G205" s="53"/>
    </row>
    <row r="206">
      <c r="F206" s="88"/>
      <c r="G206" s="53"/>
    </row>
    <row r="207">
      <c r="F207" s="88"/>
      <c r="G207" s="53"/>
    </row>
    <row r="208">
      <c r="F208" s="88"/>
      <c r="G208" s="53"/>
    </row>
    <row r="209">
      <c r="F209" s="88"/>
      <c r="G209" s="53"/>
    </row>
    <row r="210">
      <c r="F210" s="88"/>
      <c r="G210" s="53"/>
    </row>
    <row r="211">
      <c r="F211" s="88"/>
      <c r="G211" s="53"/>
    </row>
    <row r="212">
      <c r="F212" s="88"/>
      <c r="G212" s="53"/>
    </row>
    <row r="213">
      <c r="F213" s="88"/>
      <c r="G213" s="53"/>
    </row>
    <row r="214">
      <c r="F214" s="88"/>
      <c r="G214" s="53"/>
    </row>
    <row r="215">
      <c r="F215" s="88"/>
      <c r="G215" s="53"/>
    </row>
    <row r="216">
      <c r="F216" s="88"/>
      <c r="G216" s="53"/>
    </row>
    <row r="217">
      <c r="F217" s="88"/>
      <c r="G217" s="53"/>
    </row>
    <row r="218">
      <c r="F218" s="88"/>
      <c r="G218" s="53"/>
    </row>
    <row r="219">
      <c r="F219" s="88"/>
      <c r="G219" s="53"/>
    </row>
    <row r="220">
      <c r="F220" s="88"/>
      <c r="G220" s="53"/>
    </row>
    <row r="221">
      <c r="F221" s="88"/>
      <c r="G221" s="53"/>
    </row>
    <row r="222">
      <c r="F222" s="88"/>
      <c r="G222" s="53"/>
    </row>
    <row r="223">
      <c r="F223" s="88"/>
      <c r="G223" s="53"/>
    </row>
    <row r="224">
      <c r="F224" s="88"/>
      <c r="G224" s="53"/>
    </row>
    <row r="225">
      <c r="F225" s="88"/>
      <c r="G225" s="53"/>
    </row>
    <row r="226">
      <c r="F226" s="88"/>
      <c r="G226" s="53"/>
    </row>
    <row r="227">
      <c r="F227" s="88"/>
      <c r="G227" s="53"/>
    </row>
    <row r="228">
      <c r="F228" s="88"/>
      <c r="G228" s="53"/>
    </row>
    <row r="229">
      <c r="F229" s="88"/>
      <c r="G229" s="53"/>
    </row>
    <row r="230">
      <c r="F230" s="88"/>
      <c r="G230" s="53"/>
    </row>
    <row r="231">
      <c r="F231" s="88"/>
      <c r="G231" s="53"/>
    </row>
    <row r="232">
      <c r="F232" s="88"/>
      <c r="G232" s="53"/>
    </row>
    <row r="233">
      <c r="F233" s="88"/>
      <c r="G233" s="53"/>
    </row>
    <row r="234">
      <c r="F234" s="88"/>
      <c r="G234" s="53"/>
    </row>
    <row r="235">
      <c r="F235" s="88"/>
      <c r="G235" s="53"/>
    </row>
    <row r="236">
      <c r="F236" s="88"/>
      <c r="G236" s="53"/>
    </row>
    <row r="237">
      <c r="F237" s="88"/>
      <c r="G237" s="53"/>
    </row>
    <row r="238">
      <c r="F238" s="88"/>
      <c r="G238" s="53"/>
    </row>
    <row r="239">
      <c r="F239" s="88"/>
      <c r="G239" s="53"/>
    </row>
    <row r="240">
      <c r="F240" s="88"/>
      <c r="G240" s="53"/>
    </row>
    <row r="241">
      <c r="F241" s="88"/>
      <c r="G241" s="53"/>
    </row>
    <row r="242">
      <c r="F242" s="88"/>
      <c r="G242" s="53"/>
    </row>
    <row r="243">
      <c r="F243" s="88"/>
      <c r="G243" s="53"/>
    </row>
    <row r="244">
      <c r="F244" s="88"/>
      <c r="G244" s="53"/>
    </row>
    <row r="245">
      <c r="F245" s="88"/>
      <c r="G245" s="53"/>
    </row>
    <row r="246">
      <c r="F246" s="88"/>
      <c r="G246" s="53"/>
    </row>
    <row r="247">
      <c r="F247" s="88"/>
      <c r="G247" s="53"/>
    </row>
    <row r="248">
      <c r="F248" s="88"/>
      <c r="G248" s="53"/>
    </row>
    <row r="249">
      <c r="F249" s="88"/>
      <c r="G249" s="53"/>
    </row>
    <row r="250">
      <c r="F250" s="88"/>
      <c r="G250" s="53"/>
    </row>
    <row r="251">
      <c r="F251" s="88"/>
      <c r="G251" s="53"/>
    </row>
    <row r="252">
      <c r="F252" s="88"/>
      <c r="G252" s="53"/>
    </row>
    <row r="253">
      <c r="F253" s="88"/>
      <c r="G253" s="53"/>
    </row>
    <row r="254">
      <c r="F254" s="88"/>
      <c r="G254" s="53"/>
    </row>
    <row r="255">
      <c r="F255" s="88"/>
      <c r="G255" s="53"/>
    </row>
    <row r="256">
      <c r="F256" s="88"/>
      <c r="G256" s="53"/>
    </row>
    <row r="257">
      <c r="F257" s="88"/>
      <c r="G257" s="53"/>
    </row>
    <row r="258">
      <c r="F258" s="88"/>
      <c r="G258" s="53"/>
    </row>
    <row r="259">
      <c r="F259" s="88"/>
      <c r="G259" s="53"/>
    </row>
    <row r="260">
      <c r="F260" s="88"/>
      <c r="G260" s="53"/>
    </row>
    <row r="261">
      <c r="F261" s="88"/>
      <c r="G261" s="53"/>
    </row>
    <row r="262">
      <c r="F262" s="88"/>
      <c r="G262" s="53"/>
    </row>
    <row r="263">
      <c r="F263" s="88"/>
      <c r="G263" s="53"/>
    </row>
    <row r="264">
      <c r="F264" s="88"/>
      <c r="G264" s="53"/>
    </row>
    <row r="265">
      <c r="F265" s="88"/>
      <c r="G265" s="53"/>
    </row>
    <row r="266">
      <c r="F266" s="88"/>
      <c r="G266" s="53"/>
    </row>
    <row r="267">
      <c r="F267" s="88"/>
      <c r="G267" s="53"/>
    </row>
    <row r="268">
      <c r="F268" s="88"/>
      <c r="G268" s="53"/>
    </row>
    <row r="269">
      <c r="F269" s="88"/>
      <c r="G269" s="53"/>
    </row>
    <row r="270">
      <c r="F270" s="88"/>
      <c r="G270" s="53"/>
    </row>
    <row r="271">
      <c r="F271" s="88"/>
      <c r="G271" s="53"/>
    </row>
    <row r="272">
      <c r="F272" s="88"/>
      <c r="G272" s="53"/>
    </row>
    <row r="273">
      <c r="F273" s="88"/>
      <c r="G273" s="53"/>
    </row>
    <row r="274">
      <c r="F274" s="88"/>
      <c r="G274" s="53"/>
    </row>
    <row r="275">
      <c r="F275" s="88"/>
      <c r="G275" s="53"/>
    </row>
    <row r="276">
      <c r="F276" s="88"/>
      <c r="G276" s="53"/>
    </row>
    <row r="277">
      <c r="F277" s="88"/>
      <c r="G277" s="53"/>
    </row>
    <row r="278">
      <c r="F278" s="88"/>
      <c r="G278" s="53"/>
    </row>
    <row r="279">
      <c r="F279" s="88"/>
      <c r="G279" s="53"/>
    </row>
    <row r="280">
      <c r="F280" s="88"/>
      <c r="G280" s="53"/>
    </row>
    <row r="281">
      <c r="F281" s="88"/>
      <c r="G281" s="53"/>
    </row>
    <row r="282">
      <c r="F282" s="88"/>
      <c r="G282" s="53"/>
    </row>
    <row r="283">
      <c r="F283" s="88"/>
      <c r="G283" s="53"/>
    </row>
    <row r="284">
      <c r="F284" s="88"/>
      <c r="G284" s="53"/>
    </row>
    <row r="285">
      <c r="F285" s="88"/>
      <c r="G285" s="53"/>
    </row>
    <row r="286">
      <c r="F286" s="88"/>
      <c r="G286" s="53"/>
    </row>
    <row r="287">
      <c r="F287" s="88"/>
      <c r="G287" s="53"/>
    </row>
    <row r="288">
      <c r="F288" s="88"/>
      <c r="G288" s="53"/>
    </row>
    <row r="289">
      <c r="F289" s="88"/>
      <c r="G289" s="53"/>
    </row>
    <row r="290">
      <c r="F290" s="88"/>
      <c r="G290" s="53"/>
    </row>
    <row r="291">
      <c r="F291" s="88"/>
      <c r="G291" s="53"/>
    </row>
    <row r="292">
      <c r="F292" s="88"/>
      <c r="G292" s="53"/>
    </row>
    <row r="293">
      <c r="F293" s="88"/>
      <c r="G293" s="53"/>
    </row>
    <row r="294">
      <c r="F294" s="88"/>
      <c r="G294" s="53"/>
    </row>
    <row r="295">
      <c r="F295" s="88"/>
      <c r="G295" s="53"/>
    </row>
    <row r="296">
      <c r="F296" s="88"/>
      <c r="G296" s="53"/>
    </row>
    <row r="297">
      <c r="F297" s="88"/>
      <c r="G297" s="53"/>
    </row>
    <row r="298">
      <c r="F298" s="88"/>
      <c r="G298" s="53"/>
    </row>
    <row r="299">
      <c r="F299" s="88"/>
      <c r="G299" s="53"/>
    </row>
    <row r="300">
      <c r="F300" s="88"/>
      <c r="G300" s="53"/>
    </row>
    <row r="301">
      <c r="F301" s="88"/>
      <c r="G301" s="53"/>
    </row>
    <row r="302">
      <c r="F302" s="88"/>
      <c r="G302" s="53"/>
    </row>
    <row r="303">
      <c r="F303" s="88"/>
      <c r="G303" s="53"/>
    </row>
    <row r="304">
      <c r="F304" s="88"/>
      <c r="G304" s="53"/>
    </row>
    <row r="305">
      <c r="F305" s="88"/>
      <c r="G305" s="53"/>
    </row>
    <row r="306">
      <c r="F306" s="88"/>
      <c r="G306" s="53"/>
    </row>
    <row r="307">
      <c r="F307" s="88"/>
      <c r="G307" s="53"/>
    </row>
    <row r="308">
      <c r="F308" s="88"/>
      <c r="G308" s="53"/>
    </row>
    <row r="309">
      <c r="F309" s="88"/>
      <c r="G309" s="53"/>
    </row>
    <row r="310">
      <c r="F310" s="88"/>
      <c r="G310" s="53"/>
    </row>
    <row r="311">
      <c r="F311" s="88"/>
      <c r="G311" s="53"/>
    </row>
    <row r="312">
      <c r="F312" s="88"/>
      <c r="G312" s="53"/>
    </row>
    <row r="313">
      <c r="F313" s="88"/>
      <c r="G313" s="53"/>
    </row>
    <row r="314">
      <c r="F314" s="88"/>
      <c r="G314" s="53"/>
    </row>
    <row r="315">
      <c r="F315" s="88"/>
      <c r="G315" s="53"/>
    </row>
    <row r="316">
      <c r="F316" s="88"/>
      <c r="G316" s="53"/>
    </row>
    <row r="317">
      <c r="F317" s="88"/>
      <c r="G317" s="53"/>
    </row>
    <row r="318">
      <c r="F318" s="88"/>
      <c r="G318" s="53"/>
    </row>
    <row r="319">
      <c r="F319" s="88"/>
      <c r="G319" s="53"/>
    </row>
    <row r="320">
      <c r="F320" s="88"/>
      <c r="G320" s="53"/>
    </row>
    <row r="321">
      <c r="F321" s="88"/>
      <c r="G321" s="53"/>
    </row>
    <row r="322">
      <c r="F322" s="88"/>
      <c r="G322" s="53"/>
    </row>
    <row r="323">
      <c r="F323" s="88"/>
      <c r="G323" s="53"/>
    </row>
    <row r="324">
      <c r="F324" s="88"/>
      <c r="G324" s="53"/>
    </row>
    <row r="325">
      <c r="F325" s="88"/>
      <c r="G325" s="53"/>
    </row>
    <row r="326">
      <c r="F326" s="88"/>
      <c r="G326" s="53"/>
    </row>
    <row r="327">
      <c r="F327" s="88"/>
      <c r="G327" s="53"/>
    </row>
    <row r="328">
      <c r="F328" s="88"/>
      <c r="G328" s="53"/>
    </row>
    <row r="329">
      <c r="F329" s="88"/>
      <c r="G329" s="53"/>
    </row>
    <row r="330">
      <c r="F330" s="88"/>
      <c r="G330" s="53"/>
    </row>
    <row r="331">
      <c r="F331" s="88"/>
      <c r="G331" s="53"/>
    </row>
    <row r="332">
      <c r="F332" s="88"/>
      <c r="G332" s="53"/>
    </row>
    <row r="333">
      <c r="F333" s="88"/>
      <c r="G333" s="53"/>
    </row>
    <row r="334">
      <c r="F334" s="88"/>
      <c r="G334" s="53"/>
    </row>
    <row r="335">
      <c r="F335" s="88"/>
      <c r="G335" s="53"/>
    </row>
    <row r="336">
      <c r="F336" s="88"/>
      <c r="G336" s="53"/>
    </row>
    <row r="337">
      <c r="F337" s="88"/>
      <c r="G337" s="53"/>
    </row>
    <row r="338">
      <c r="F338" s="88"/>
      <c r="G338" s="53"/>
    </row>
    <row r="339">
      <c r="F339" s="88"/>
      <c r="G339" s="53"/>
    </row>
    <row r="340">
      <c r="F340" s="88"/>
      <c r="G340" s="53"/>
    </row>
    <row r="341">
      <c r="F341" s="88"/>
      <c r="G341" s="53"/>
    </row>
    <row r="342">
      <c r="F342" s="88"/>
      <c r="G342" s="53"/>
    </row>
    <row r="343">
      <c r="F343" s="88"/>
      <c r="G343" s="53"/>
    </row>
    <row r="344">
      <c r="F344" s="88"/>
      <c r="G344" s="53"/>
    </row>
    <row r="345">
      <c r="F345" s="88"/>
      <c r="G345" s="53"/>
    </row>
    <row r="346">
      <c r="F346" s="88"/>
      <c r="G346" s="53"/>
    </row>
    <row r="347">
      <c r="F347" s="88"/>
      <c r="G347" s="53"/>
    </row>
    <row r="348">
      <c r="F348" s="88"/>
      <c r="G348" s="53"/>
    </row>
    <row r="349">
      <c r="F349" s="88"/>
      <c r="G349" s="53"/>
    </row>
    <row r="350">
      <c r="F350" s="88"/>
      <c r="G350" s="53"/>
    </row>
    <row r="351">
      <c r="F351" s="88"/>
      <c r="G351" s="53"/>
    </row>
    <row r="352">
      <c r="F352" s="88"/>
      <c r="G352" s="53"/>
    </row>
    <row r="353">
      <c r="F353" s="88"/>
      <c r="G353" s="53"/>
    </row>
    <row r="354">
      <c r="F354" s="88"/>
      <c r="G354" s="53"/>
    </row>
    <row r="355">
      <c r="F355" s="88"/>
      <c r="G355" s="53"/>
    </row>
    <row r="356">
      <c r="F356" s="88"/>
      <c r="G356" s="53"/>
    </row>
    <row r="357">
      <c r="F357" s="88"/>
      <c r="G357" s="53"/>
    </row>
    <row r="358">
      <c r="F358" s="88"/>
      <c r="G358" s="53"/>
    </row>
    <row r="359">
      <c r="F359" s="88"/>
      <c r="G359" s="53"/>
    </row>
    <row r="360">
      <c r="F360" s="88"/>
      <c r="G360" s="53"/>
    </row>
    <row r="361">
      <c r="F361" s="88"/>
      <c r="G361" s="53"/>
    </row>
    <row r="362">
      <c r="F362" s="88"/>
      <c r="G362" s="53"/>
    </row>
    <row r="363">
      <c r="F363" s="88"/>
      <c r="G363" s="53"/>
    </row>
    <row r="364">
      <c r="F364" s="88"/>
      <c r="G364" s="53"/>
    </row>
    <row r="365">
      <c r="F365" s="88"/>
      <c r="G365" s="53"/>
    </row>
    <row r="366">
      <c r="F366" s="88"/>
      <c r="G366" s="53"/>
    </row>
    <row r="367">
      <c r="F367" s="88"/>
      <c r="G367" s="53"/>
    </row>
    <row r="368">
      <c r="F368" s="88"/>
      <c r="G368" s="53"/>
    </row>
    <row r="369">
      <c r="F369" s="88"/>
      <c r="G369" s="53"/>
    </row>
    <row r="370">
      <c r="F370" s="88"/>
      <c r="G370" s="53"/>
    </row>
    <row r="371">
      <c r="F371" s="88"/>
      <c r="G371" s="53"/>
    </row>
    <row r="372">
      <c r="F372" s="88"/>
      <c r="G372" s="53"/>
    </row>
    <row r="373">
      <c r="F373" s="88"/>
      <c r="G373" s="53"/>
    </row>
    <row r="374">
      <c r="F374" s="88"/>
      <c r="G374" s="53"/>
    </row>
    <row r="375">
      <c r="F375" s="88"/>
      <c r="G375" s="53"/>
    </row>
    <row r="376">
      <c r="F376" s="88"/>
      <c r="G376" s="53"/>
    </row>
    <row r="377">
      <c r="F377" s="88"/>
      <c r="G377" s="53"/>
    </row>
    <row r="378">
      <c r="F378" s="88"/>
      <c r="G378" s="53"/>
    </row>
    <row r="379">
      <c r="F379" s="88"/>
      <c r="G379" s="53"/>
    </row>
    <row r="380">
      <c r="F380" s="88"/>
      <c r="G380" s="53"/>
    </row>
    <row r="381">
      <c r="F381" s="88"/>
      <c r="G381" s="53"/>
    </row>
    <row r="382">
      <c r="F382" s="88"/>
      <c r="G382" s="53"/>
    </row>
    <row r="383">
      <c r="F383" s="88"/>
      <c r="G383" s="53"/>
    </row>
    <row r="384">
      <c r="F384" s="88"/>
      <c r="G384" s="53"/>
    </row>
    <row r="385">
      <c r="F385" s="88"/>
      <c r="G385" s="53"/>
    </row>
    <row r="386">
      <c r="F386" s="88"/>
      <c r="G386" s="53"/>
    </row>
    <row r="387">
      <c r="F387" s="88"/>
      <c r="G387" s="53"/>
    </row>
    <row r="388">
      <c r="F388" s="88"/>
      <c r="G388" s="53"/>
    </row>
    <row r="389">
      <c r="F389" s="88"/>
      <c r="G389" s="53"/>
    </row>
    <row r="390">
      <c r="F390" s="88"/>
      <c r="G390" s="53"/>
    </row>
    <row r="391">
      <c r="F391" s="88"/>
      <c r="G391" s="53"/>
    </row>
    <row r="392">
      <c r="F392" s="88"/>
      <c r="G392" s="53"/>
    </row>
    <row r="393">
      <c r="F393" s="88"/>
      <c r="G393" s="53"/>
    </row>
    <row r="394">
      <c r="F394" s="88"/>
      <c r="G394" s="53"/>
    </row>
    <row r="395">
      <c r="F395" s="88"/>
      <c r="G395" s="53"/>
    </row>
    <row r="396">
      <c r="F396" s="88"/>
      <c r="G396" s="53"/>
    </row>
    <row r="397">
      <c r="F397" s="88"/>
      <c r="G397" s="53"/>
    </row>
    <row r="398">
      <c r="F398" s="88"/>
      <c r="G398" s="53"/>
    </row>
    <row r="399">
      <c r="F399" s="88"/>
      <c r="G399" s="53"/>
    </row>
    <row r="400">
      <c r="F400" s="88"/>
      <c r="G400" s="53"/>
    </row>
    <row r="401">
      <c r="F401" s="88"/>
      <c r="G401" s="53"/>
    </row>
    <row r="402">
      <c r="F402" s="88"/>
      <c r="G402" s="53"/>
    </row>
    <row r="403">
      <c r="F403" s="88"/>
      <c r="G403" s="53"/>
    </row>
    <row r="404">
      <c r="F404" s="88"/>
      <c r="G404" s="53"/>
    </row>
    <row r="405">
      <c r="F405" s="88"/>
      <c r="G405" s="53"/>
    </row>
    <row r="406">
      <c r="F406" s="88"/>
      <c r="G406" s="53"/>
    </row>
    <row r="407">
      <c r="F407" s="88"/>
      <c r="G407" s="53"/>
    </row>
    <row r="408">
      <c r="F408" s="88"/>
      <c r="G408" s="53"/>
    </row>
    <row r="409">
      <c r="F409" s="88"/>
      <c r="G409" s="53"/>
    </row>
    <row r="410">
      <c r="F410" s="88"/>
      <c r="G410" s="53"/>
    </row>
    <row r="411">
      <c r="F411" s="88"/>
      <c r="G411" s="53"/>
    </row>
    <row r="412">
      <c r="F412" s="88"/>
      <c r="G412" s="53"/>
    </row>
    <row r="413">
      <c r="F413" s="88"/>
      <c r="G413" s="53"/>
    </row>
    <row r="414">
      <c r="F414" s="88"/>
      <c r="G414" s="53"/>
    </row>
    <row r="415">
      <c r="F415" s="88"/>
      <c r="G415" s="53"/>
    </row>
    <row r="416">
      <c r="F416" s="88"/>
      <c r="G416" s="53"/>
    </row>
    <row r="417">
      <c r="F417" s="88"/>
      <c r="G417" s="53"/>
    </row>
    <row r="418">
      <c r="F418" s="88"/>
      <c r="G418" s="53"/>
    </row>
    <row r="419">
      <c r="F419" s="88"/>
      <c r="G419" s="53"/>
    </row>
    <row r="420">
      <c r="F420" s="88"/>
      <c r="G420" s="53"/>
    </row>
    <row r="421">
      <c r="F421" s="88"/>
      <c r="G421" s="53"/>
    </row>
    <row r="422">
      <c r="F422" s="88"/>
      <c r="G422" s="53"/>
    </row>
    <row r="423">
      <c r="F423" s="88"/>
      <c r="G423" s="53"/>
    </row>
    <row r="424">
      <c r="F424" s="88"/>
      <c r="G424" s="53"/>
    </row>
    <row r="425">
      <c r="F425" s="88"/>
      <c r="G425" s="53"/>
    </row>
    <row r="426">
      <c r="F426" s="88"/>
      <c r="G426" s="53"/>
    </row>
    <row r="427">
      <c r="F427" s="88"/>
      <c r="G427" s="53"/>
    </row>
    <row r="428">
      <c r="F428" s="88"/>
      <c r="G428" s="53"/>
    </row>
    <row r="429">
      <c r="F429" s="88"/>
      <c r="G429" s="53"/>
    </row>
    <row r="430">
      <c r="F430" s="88"/>
      <c r="G430" s="53"/>
    </row>
    <row r="431">
      <c r="F431" s="88"/>
      <c r="G431" s="53"/>
    </row>
    <row r="432">
      <c r="F432" s="88"/>
      <c r="G432" s="53"/>
    </row>
    <row r="433">
      <c r="F433" s="88"/>
      <c r="G433" s="53"/>
    </row>
    <row r="434">
      <c r="F434" s="88"/>
      <c r="G434" s="53"/>
    </row>
    <row r="435">
      <c r="F435" s="88"/>
      <c r="G435" s="53"/>
    </row>
    <row r="436">
      <c r="F436" s="88"/>
      <c r="G436" s="53"/>
    </row>
    <row r="437">
      <c r="F437" s="88"/>
      <c r="G437" s="53"/>
    </row>
    <row r="438">
      <c r="F438" s="88"/>
      <c r="G438" s="53"/>
    </row>
    <row r="439">
      <c r="F439" s="88"/>
      <c r="G439" s="53"/>
    </row>
    <row r="440">
      <c r="F440" s="88"/>
      <c r="G440" s="53"/>
    </row>
    <row r="441">
      <c r="F441" s="88"/>
      <c r="G441" s="53"/>
    </row>
    <row r="442">
      <c r="F442" s="88"/>
      <c r="G442" s="53"/>
    </row>
    <row r="443">
      <c r="F443" s="88"/>
      <c r="G443" s="53"/>
    </row>
    <row r="444">
      <c r="F444" s="88"/>
      <c r="G444" s="53"/>
    </row>
    <row r="445">
      <c r="F445" s="88"/>
      <c r="G445" s="53"/>
    </row>
    <row r="446">
      <c r="F446" s="88"/>
      <c r="G446" s="53"/>
    </row>
    <row r="447">
      <c r="F447" s="88"/>
      <c r="G447" s="53"/>
    </row>
    <row r="448">
      <c r="F448" s="88"/>
      <c r="G448" s="53"/>
    </row>
    <row r="449">
      <c r="F449" s="88"/>
      <c r="G449" s="53"/>
    </row>
    <row r="450">
      <c r="F450" s="88"/>
      <c r="G450" s="53"/>
    </row>
    <row r="451">
      <c r="F451" s="88"/>
      <c r="G451" s="53"/>
    </row>
    <row r="452">
      <c r="F452" s="88"/>
      <c r="G452" s="53"/>
    </row>
    <row r="453">
      <c r="F453" s="88"/>
      <c r="G453" s="53"/>
    </row>
    <row r="454">
      <c r="F454" s="88"/>
      <c r="G454" s="53"/>
    </row>
    <row r="455">
      <c r="F455" s="88"/>
      <c r="G455" s="53"/>
    </row>
    <row r="456">
      <c r="F456" s="88"/>
      <c r="G456" s="53"/>
    </row>
    <row r="457">
      <c r="F457" s="88"/>
      <c r="G457" s="53"/>
    </row>
    <row r="458">
      <c r="F458" s="88"/>
      <c r="G458" s="53"/>
    </row>
    <row r="459">
      <c r="F459" s="88"/>
      <c r="G459" s="53"/>
    </row>
    <row r="460">
      <c r="F460" s="88"/>
      <c r="G460" s="53"/>
    </row>
    <row r="461">
      <c r="F461" s="88"/>
      <c r="G461" s="53"/>
    </row>
    <row r="462">
      <c r="F462" s="88"/>
      <c r="G462" s="53"/>
    </row>
    <row r="463">
      <c r="F463" s="88"/>
      <c r="G463" s="53"/>
    </row>
    <row r="464">
      <c r="F464" s="88"/>
      <c r="G464" s="53"/>
    </row>
    <row r="465">
      <c r="F465" s="88"/>
      <c r="G465" s="53"/>
    </row>
    <row r="466">
      <c r="F466" s="88"/>
      <c r="G466" s="53"/>
    </row>
    <row r="467">
      <c r="F467" s="88"/>
      <c r="G467" s="53"/>
    </row>
    <row r="468">
      <c r="F468" s="88"/>
      <c r="G468" s="53"/>
    </row>
    <row r="469">
      <c r="F469" s="88"/>
      <c r="G469" s="53"/>
    </row>
    <row r="470">
      <c r="F470" s="88"/>
      <c r="G470" s="53"/>
    </row>
    <row r="471">
      <c r="F471" s="88"/>
      <c r="G471" s="53"/>
    </row>
    <row r="472">
      <c r="F472" s="88"/>
      <c r="G472" s="53"/>
    </row>
    <row r="473">
      <c r="F473" s="88"/>
      <c r="G473" s="53"/>
    </row>
    <row r="474">
      <c r="F474" s="88"/>
      <c r="G474" s="53"/>
    </row>
    <row r="475">
      <c r="F475" s="88"/>
      <c r="G475" s="53"/>
    </row>
    <row r="476">
      <c r="F476" s="88"/>
      <c r="G476" s="53"/>
    </row>
    <row r="477">
      <c r="F477" s="88"/>
      <c r="G477" s="53"/>
    </row>
    <row r="478">
      <c r="F478" s="88"/>
      <c r="G478" s="53"/>
    </row>
    <row r="479">
      <c r="F479" s="88"/>
      <c r="G479" s="53"/>
    </row>
    <row r="480">
      <c r="F480" s="88"/>
      <c r="G480" s="53"/>
    </row>
    <row r="481">
      <c r="F481" s="88"/>
      <c r="G481" s="53"/>
    </row>
    <row r="482">
      <c r="F482" s="88"/>
      <c r="G482" s="53"/>
    </row>
    <row r="483">
      <c r="F483" s="88"/>
      <c r="G483" s="53"/>
    </row>
    <row r="484">
      <c r="F484" s="88"/>
      <c r="G484" s="53"/>
    </row>
    <row r="485">
      <c r="F485" s="88"/>
      <c r="G485" s="53"/>
    </row>
    <row r="486">
      <c r="F486" s="88"/>
      <c r="G486" s="53"/>
    </row>
    <row r="487">
      <c r="F487" s="88"/>
      <c r="G487" s="53"/>
    </row>
    <row r="488">
      <c r="F488" s="88"/>
      <c r="G488" s="53"/>
    </row>
    <row r="489">
      <c r="F489" s="88"/>
      <c r="G489" s="53"/>
    </row>
    <row r="490">
      <c r="F490" s="88"/>
      <c r="G490" s="53"/>
    </row>
    <row r="491">
      <c r="F491" s="88"/>
      <c r="G491" s="53"/>
    </row>
    <row r="492">
      <c r="F492" s="88"/>
      <c r="G492" s="53"/>
    </row>
    <row r="493">
      <c r="F493" s="88"/>
      <c r="G493" s="53"/>
    </row>
    <row r="494">
      <c r="F494" s="88"/>
      <c r="G494" s="53"/>
    </row>
    <row r="495">
      <c r="F495" s="88"/>
      <c r="G495" s="53"/>
    </row>
    <row r="496">
      <c r="F496" s="88"/>
      <c r="G496" s="53"/>
    </row>
    <row r="497">
      <c r="F497" s="88"/>
      <c r="G497" s="53"/>
    </row>
    <row r="498">
      <c r="F498" s="88"/>
      <c r="G498" s="53"/>
    </row>
    <row r="499">
      <c r="F499" s="88"/>
      <c r="G499" s="53"/>
    </row>
    <row r="500">
      <c r="F500" s="88"/>
      <c r="G500" s="53"/>
    </row>
    <row r="501">
      <c r="F501" s="88"/>
      <c r="G501" s="53"/>
    </row>
    <row r="502">
      <c r="F502" s="88"/>
      <c r="G502" s="53"/>
    </row>
    <row r="503">
      <c r="F503" s="88"/>
      <c r="G503" s="53"/>
    </row>
    <row r="504">
      <c r="F504" s="88"/>
      <c r="G504" s="53"/>
    </row>
    <row r="505">
      <c r="F505" s="88"/>
      <c r="G505" s="53"/>
    </row>
    <row r="506">
      <c r="F506" s="88"/>
      <c r="G506" s="53"/>
    </row>
    <row r="507">
      <c r="F507" s="88"/>
      <c r="G507" s="53"/>
    </row>
    <row r="508">
      <c r="F508" s="88"/>
      <c r="G508" s="53"/>
    </row>
    <row r="509">
      <c r="F509" s="88"/>
      <c r="G509" s="53"/>
    </row>
    <row r="510">
      <c r="F510" s="88"/>
      <c r="G510" s="53"/>
    </row>
    <row r="511">
      <c r="F511" s="88"/>
      <c r="G511" s="53"/>
    </row>
    <row r="512">
      <c r="F512" s="88"/>
      <c r="G512" s="53"/>
    </row>
    <row r="513">
      <c r="F513" s="88"/>
      <c r="G513" s="53"/>
    </row>
    <row r="514">
      <c r="F514" s="88"/>
      <c r="G514" s="53"/>
    </row>
    <row r="515">
      <c r="F515" s="88"/>
      <c r="G515" s="53"/>
    </row>
    <row r="516">
      <c r="F516" s="88"/>
      <c r="G516" s="53"/>
    </row>
    <row r="517">
      <c r="F517" s="88"/>
      <c r="G517" s="53"/>
    </row>
    <row r="518">
      <c r="F518" s="88"/>
      <c r="G518" s="53"/>
    </row>
    <row r="519">
      <c r="F519" s="88"/>
      <c r="G519" s="53"/>
    </row>
    <row r="520">
      <c r="F520" s="88"/>
      <c r="G520" s="53"/>
    </row>
    <row r="521">
      <c r="F521" s="88"/>
      <c r="G521" s="53"/>
    </row>
    <row r="522">
      <c r="F522" s="88"/>
      <c r="G522" s="53"/>
    </row>
    <row r="523">
      <c r="F523" s="88"/>
      <c r="G523" s="53"/>
    </row>
    <row r="524">
      <c r="F524" s="88"/>
      <c r="G524" s="53"/>
    </row>
    <row r="525">
      <c r="F525" s="88"/>
      <c r="G525" s="53"/>
    </row>
    <row r="526">
      <c r="F526" s="88"/>
      <c r="G526" s="53"/>
    </row>
    <row r="527">
      <c r="F527" s="88"/>
      <c r="G527" s="53"/>
    </row>
    <row r="528">
      <c r="F528" s="88"/>
      <c r="G528" s="53"/>
    </row>
    <row r="529">
      <c r="F529" s="88"/>
      <c r="G529" s="53"/>
    </row>
    <row r="530">
      <c r="F530" s="88"/>
      <c r="G530" s="53"/>
    </row>
    <row r="531">
      <c r="F531" s="88"/>
      <c r="G531" s="53"/>
    </row>
    <row r="532">
      <c r="F532" s="88"/>
      <c r="G532" s="53"/>
    </row>
    <row r="533">
      <c r="F533" s="88"/>
      <c r="G533" s="53"/>
    </row>
    <row r="534">
      <c r="F534" s="88"/>
      <c r="G534" s="53"/>
    </row>
    <row r="535">
      <c r="F535" s="88"/>
      <c r="G535" s="53"/>
    </row>
    <row r="536">
      <c r="F536" s="88"/>
      <c r="G536" s="53"/>
    </row>
    <row r="537">
      <c r="F537" s="88"/>
      <c r="G537" s="53"/>
    </row>
    <row r="538">
      <c r="F538" s="88"/>
      <c r="G538" s="53"/>
    </row>
    <row r="539">
      <c r="F539" s="88"/>
      <c r="G539" s="53"/>
    </row>
    <row r="540">
      <c r="F540" s="88"/>
      <c r="G540" s="53"/>
    </row>
    <row r="541">
      <c r="F541" s="88"/>
      <c r="G541" s="53"/>
    </row>
    <row r="542">
      <c r="F542" s="88"/>
      <c r="G542" s="53"/>
    </row>
    <row r="543">
      <c r="F543" s="88"/>
      <c r="G543" s="53"/>
    </row>
    <row r="544">
      <c r="F544" s="88"/>
      <c r="G544" s="53"/>
    </row>
    <row r="545">
      <c r="F545" s="88"/>
      <c r="G545" s="53"/>
    </row>
    <row r="546">
      <c r="F546" s="88"/>
      <c r="G546" s="53"/>
    </row>
    <row r="547">
      <c r="F547" s="88"/>
      <c r="G547" s="53"/>
    </row>
    <row r="548">
      <c r="F548" s="88"/>
      <c r="G548" s="53"/>
    </row>
    <row r="549">
      <c r="F549" s="88"/>
      <c r="G549" s="53"/>
    </row>
    <row r="550">
      <c r="F550" s="88"/>
      <c r="G550" s="53"/>
    </row>
    <row r="551">
      <c r="F551" s="88"/>
      <c r="G551" s="53"/>
    </row>
    <row r="552">
      <c r="F552" s="88"/>
      <c r="G552" s="53"/>
    </row>
    <row r="553">
      <c r="F553" s="88"/>
      <c r="G553" s="53"/>
    </row>
    <row r="554">
      <c r="F554" s="88"/>
      <c r="G554" s="53"/>
    </row>
    <row r="555">
      <c r="F555" s="88"/>
      <c r="G555" s="53"/>
    </row>
    <row r="556">
      <c r="F556" s="88"/>
      <c r="G556" s="53"/>
    </row>
    <row r="557">
      <c r="F557" s="88"/>
      <c r="G557" s="53"/>
    </row>
    <row r="558">
      <c r="F558" s="88"/>
      <c r="G558" s="53"/>
    </row>
    <row r="559">
      <c r="F559" s="88"/>
      <c r="G559" s="53"/>
    </row>
    <row r="560">
      <c r="F560" s="88"/>
      <c r="G560" s="53"/>
    </row>
    <row r="561">
      <c r="F561" s="88"/>
      <c r="G561" s="53"/>
    </row>
    <row r="562">
      <c r="F562" s="88"/>
      <c r="G562" s="53"/>
    </row>
    <row r="563">
      <c r="F563" s="88"/>
      <c r="G563" s="53"/>
    </row>
    <row r="564">
      <c r="F564" s="88"/>
      <c r="G564" s="53"/>
    </row>
    <row r="565">
      <c r="F565" s="88"/>
      <c r="G565" s="53"/>
    </row>
    <row r="566">
      <c r="F566" s="88"/>
      <c r="G566" s="53"/>
    </row>
    <row r="567">
      <c r="F567" s="88"/>
      <c r="G567" s="53"/>
    </row>
    <row r="568">
      <c r="F568" s="88"/>
      <c r="G568" s="53"/>
    </row>
    <row r="569">
      <c r="F569" s="88"/>
      <c r="G569" s="53"/>
    </row>
    <row r="570">
      <c r="F570" s="88"/>
      <c r="G570" s="53"/>
    </row>
    <row r="571">
      <c r="F571" s="88"/>
      <c r="G571" s="53"/>
    </row>
    <row r="572">
      <c r="F572" s="88"/>
      <c r="G572" s="53"/>
    </row>
    <row r="573">
      <c r="F573" s="88"/>
      <c r="G573" s="53"/>
    </row>
    <row r="574">
      <c r="F574" s="88"/>
      <c r="G574" s="53"/>
    </row>
    <row r="575">
      <c r="F575" s="88"/>
      <c r="G575" s="53"/>
    </row>
    <row r="576">
      <c r="F576" s="88"/>
      <c r="G576" s="53"/>
    </row>
    <row r="577">
      <c r="F577" s="88"/>
      <c r="G577" s="53"/>
    </row>
    <row r="578">
      <c r="F578" s="88"/>
      <c r="G578" s="53"/>
    </row>
    <row r="579">
      <c r="F579" s="88"/>
      <c r="G579" s="53"/>
    </row>
    <row r="580">
      <c r="F580" s="88"/>
      <c r="G580" s="53"/>
    </row>
    <row r="581">
      <c r="F581" s="88"/>
      <c r="G581" s="53"/>
    </row>
    <row r="582">
      <c r="F582" s="88"/>
      <c r="G582" s="53"/>
    </row>
    <row r="583">
      <c r="F583" s="88"/>
      <c r="G583" s="53"/>
    </row>
    <row r="584">
      <c r="F584" s="88"/>
      <c r="G584" s="53"/>
    </row>
    <row r="585">
      <c r="F585" s="88"/>
      <c r="G585" s="53"/>
    </row>
    <row r="586">
      <c r="F586" s="88"/>
      <c r="G586" s="53"/>
    </row>
    <row r="587">
      <c r="F587" s="88"/>
      <c r="G587" s="53"/>
    </row>
    <row r="588">
      <c r="F588" s="88"/>
      <c r="G588" s="53"/>
    </row>
    <row r="589">
      <c r="F589" s="88"/>
      <c r="G589" s="53"/>
    </row>
    <row r="590">
      <c r="F590" s="88"/>
      <c r="G590" s="53"/>
    </row>
    <row r="591">
      <c r="F591" s="88"/>
      <c r="G591" s="53"/>
    </row>
    <row r="592">
      <c r="F592" s="88"/>
      <c r="G592" s="53"/>
    </row>
    <row r="593">
      <c r="F593" s="88"/>
      <c r="G593" s="53"/>
    </row>
    <row r="594">
      <c r="F594" s="88"/>
      <c r="G594" s="53"/>
    </row>
    <row r="595">
      <c r="F595" s="88"/>
      <c r="G595" s="53"/>
    </row>
    <row r="596">
      <c r="F596" s="88"/>
      <c r="G596" s="53"/>
    </row>
    <row r="597">
      <c r="F597" s="88"/>
      <c r="G597" s="53"/>
    </row>
    <row r="598">
      <c r="F598" s="88"/>
      <c r="G598" s="53"/>
    </row>
    <row r="599">
      <c r="F599" s="88"/>
      <c r="G599" s="53"/>
    </row>
    <row r="600">
      <c r="F600" s="88"/>
      <c r="G600" s="53"/>
    </row>
    <row r="601">
      <c r="F601" s="88"/>
      <c r="G601" s="53"/>
    </row>
    <row r="602">
      <c r="F602" s="88"/>
      <c r="G602" s="53"/>
    </row>
    <row r="603">
      <c r="F603" s="88"/>
      <c r="G603" s="53"/>
    </row>
    <row r="604">
      <c r="F604" s="88"/>
      <c r="G604" s="53"/>
    </row>
    <row r="605">
      <c r="F605" s="88"/>
      <c r="G605" s="53"/>
    </row>
    <row r="606">
      <c r="F606" s="88"/>
      <c r="G606" s="53"/>
    </row>
    <row r="607">
      <c r="F607" s="88"/>
      <c r="G607" s="53"/>
    </row>
    <row r="608">
      <c r="F608" s="88"/>
      <c r="G608" s="53"/>
    </row>
    <row r="609">
      <c r="F609" s="88"/>
      <c r="G609" s="53"/>
    </row>
    <row r="610">
      <c r="F610" s="88"/>
      <c r="G610" s="53"/>
    </row>
    <row r="611">
      <c r="F611" s="88"/>
      <c r="G611" s="53"/>
    </row>
    <row r="612">
      <c r="F612" s="88"/>
      <c r="G612" s="53"/>
    </row>
    <row r="613">
      <c r="F613" s="88"/>
      <c r="G613" s="53"/>
    </row>
    <row r="614">
      <c r="F614" s="88"/>
      <c r="G614" s="53"/>
    </row>
    <row r="615">
      <c r="F615" s="88"/>
      <c r="G615" s="53"/>
    </row>
    <row r="616">
      <c r="F616" s="88"/>
      <c r="G616" s="53"/>
    </row>
    <row r="617">
      <c r="F617" s="88"/>
      <c r="G617" s="53"/>
    </row>
    <row r="618">
      <c r="F618" s="88"/>
      <c r="G618" s="53"/>
    </row>
    <row r="619">
      <c r="F619" s="88"/>
      <c r="G619" s="53"/>
    </row>
    <row r="620">
      <c r="F620" s="88"/>
      <c r="G620" s="53"/>
    </row>
    <row r="621">
      <c r="F621" s="88"/>
      <c r="G621" s="53"/>
    </row>
    <row r="622">
      <c r="F622" s="88"/>
      <c r="G622" s="53"/>
    </row>
    <row r="623">
      <c r="F623" s="88"/>
      <c r="G623" s="53"/>
    </row>
    <row r="624">
      <c r="F624" s="88"/>
      <c r="G624" s="53"/>
    </row>
    <row r="625">
      <c r="F625" s="88"/>
      <c r="G625" s="53"/>
    </row>
    <row r="626">
      <c r="F626" s="88"/>
      <c r="G626" s="53"/>
    </row>
    <row r="627">
      <c r="F627" s="88"/>
      <c r="G627" s="53"/>
    </row>
    <row r="628">
      <c r="F628" s="88"/>
      <c r="G628" s="53"/>
    </row>
    <row r="629">
      <c r="F629" s="88"/>
      <c r="G629" s="53"/>
    </row>
    <row r="630">
      <c r="F630" s="88"/>
      <c r="G630" s="53"/>
    </row>
    <row r="631">
      <c r="F631" s="88"/>
      <c r="G631" s="53"/>
    </row>
    <row r="632">
      <c r="F632" s="88"/>
      <c r="G632" s="53"/>
    </row>
    <row r="633">
      <c r="F633" s="88"/>
      <c r="G633" s="53"/>
    </row>
    <row r="634">
      <c r="F634" s="88"/>
      <c r="G634" s="53"/>
    </row>
    <row r="635">
      <c r="F635" s="88"/>
      <c r="G635" s="53"/>
    </row>
    <row r="636">
      <c r="F636" s="88"/>
      <c r="G636" s="53"/>
    </row>
    <row r="637">
      <c r="F637" s="88"/>
      <c r="G637" s="53"/>
    </row>
    <row r="638">
      <c r="F638" s="88"/>
      <c r="G638" s="53"/>
    </row>
    <row r="639">
      <c r="F639" s="88"/>
      <c r="G639" s="53"/>
    </row>
    <row r="640">
      <c r="F640" s="88"/>
      <c r="G640" s="53"/>
    </row>
    <row r="641">
      <c r="F641" s="88"/>
      <c r="G641" s="53"/>
    </row>
    <row r="642">
      <c r="F642" s="88"/>
      <c r="G642" s="53"/>
    </row>
    <row r="643">
      <c r="F643" s="88"/>
      <c r="G643" s="53"/>
    </row>
    <row r="644">
      <c r="F644" s="88"/>
      <c r="G644" s="53"/>
    </row>
    <row r="645">
      <c r="F645" s="88"/>
      <c r="G645" s="53"/>
    </row>
    <row r="646">
      <c r="F646" s="88"/>
      <c r="G646" s="53"/>
    </row>
    <row r="647">
      <c r="F647" s="88"/>
      <c r="G647" s="53"/>
    </row>
    <row r="648">
      <c r="F648" s="88"/>
      <c r="G648" s="53"/>
    </row>
    <row r="649">
      <c r="F649" s="88"/>
      <c r="G649" s="53"/>
    </row>
    <row r="650">
      <c r="F650" s="88"/>
      <c r="G650" s="53"/>
    </row>
    <row r="651">
      <c r="F651" s="88"/>
      <c r="G651" s="53"/>
    </row>
    <row r="652">
      <c r="F652" s="88"/>
      <c r="G652" s="53"/>
    </row>
    <row r="653">
      <c r="F653" s="88"/>
      <c r="G653" s="53"/>
    </row>
    <row r="654">
      <c r="F654" s="88"/>
      <c r="G654" s="53"/>
    </row>
    <row r="655">
      <c r="F655" s="88"/>
      <c r="G655" s="53"/>
    </row>
    <row r="656">
      <c r="F656" s="88"/>
      <c r="G656" s="53"/>
    </row>
    <row r="657">
      <c r="F657" s="88"/>
      <c r="G657" s="53"/>
    </row>
    <row r="658">
      <c r="F658" s="88"/>
      <c r="G658" s="53"/>
    </row>
    <row r="659">
      <c r="F659" s="88"/>
      <c r="G659" s="53"/>
    </row>
    <row r="660">
      <c r="F660" s="88"/>
      <c r="G660" s="53"/>
    </row>
    <row r="661">
      <c r="F661" s="88"/>
      <c r="G661" s="53"/>
    </row>
    <row r="662">
      <c r="F662" s="88"/>
      <c r="G662" s="53"/>
    </row>
    <row r="663">
      <c r="F663" s="88"/>
      <c r="G663" s="53"/>
    </row>
    <row r="664">
      <c r="F664" s="88"/>
      <c r="G664" s="53"/>
    </row>
    <row r="665">
      <c r="F665" s="88"/>
      <c r="G665" s="53"/>
    </row>
    <row r="666">
      <c r="F666" s="88"/>
      <c r="G666" s="53"/>
    </row>
    <row r="667">
      <c r="F667" s="88"/>
      <c r="G667" s="53"/>
    </row>
    <row r="668">
      <c r="F668" s="88"/>
      <c r="G668" s="53"/>
    </row>
    <row r="669">
      <c r="F669" s="88"/>
      <c r="G669" s="53"/>
    </row>
    <row r="670">
      <c r="F670" s="88"/>
      <c r="G670" s="53"/>
    </row>
    <row r="671">
      <c r="F671" s="88"/>
      <c r="G671" s="53"/>
    </row>
    <row r="672">
      <c r="F672" s="88"/>
      <c r="G672" s="53"/>
    </row>
    <row r="673">
      <c r="F673" s="88"/>
      <c r="G673" s="53"/>
    </row>
    <row r="674">
      <c r="F674" s="88"/>
      <c r="G674" s="53"/>
    </row>
    <row r="675">
      <c r="F675" s="88"/>
      <c r="G675" s="53"/>
    </row>
    <row r="676">
      <c r="F676" s="88"/>
      <c r="G676" s="53"/>
    </row>
    <row r="677">
      <c r="F677" s="88"/>
      <c r="G677" s="53"/>
    </row>
    <row r="678">
      <c r="F678" s="88"/>
      <c r="G678" s="53"/>
    </row>
    <row r="679">
      <c r="F679" s="88"/>
      <c r="G679" s="53"/>
    </row>
    <row r="680">
      <c r="F680" s="88"/>
      <c r="G680" s="53"/>
    </row>
    <row r="681">
      <c r="F681" s="88"/>
      <c r="G681" s="53"/>
    </row>
    <row r="682">
      <c r="F682" s="88"/>
      <c r="G682" s="53"/>
    </row>
    <row r="683">
      <c r="F683" s="88"/>
      <c r="G683" s="53"/>
    </row>
    <row r="684">
      <c r="F684" s="88"/>
      <c r="G684" s="53"/>
    </row>
    <row r="685">
      <c r="F685" s="88"/>
      <c r="G685" s="53"/>
    </row>
    <row r="686">
      <c r="F686" s="88"/>
      <c r="G686" s="53"/>
    </row>
    <row r="687">
      <c r="F687" s="88"/>
      <c r="G687" s="53"/>
    </row>
    <row r="688">
      <c r="F688" s="88"/>
      <c r="G688" s="53"/>
    </row>
    <row r="689">
      <c r="F689" s="88"/>
      <c r="G689" s="53"/>
    </row>
    <row r="690">
      <c r="F690" s="88"/>
      <c r="G690" s="53"/>
    </row>
    <row r="691">
      <c r="F691" s="88"/>
      <c r="G691" s="53"/>
    </row>
    <row r="692">
      <c r="F692" s="88"/>
      <c r="G692" s="53"/>
    </row>
    <row r="693">
      <c r="F693" s="88"/>
      <c r="G693" s="53"/>
    </row>
    <row r="694">
      <c r="F694" s="88"/>
      <c r="G694" s="53"/>
    </row>
    <row r="695">
      <c r="F695" s="88"/>
      <c r="G695" s="53"/>
    </row>
    <row r="696">
      <c r="F696" s="88"/>
      <c r="G696" s="53"/>
    </row>
    <row r="697">
      <c r="F697" s="88"/>
      <c r="G697" s="53"/>
    </row>
    <row r="698">
      <c r="F698" s="88"/>
      <c r="G698" s="53"/>
    </row>
    <row r="699">
      <c r="F699" s="88"/>
      <c r="G699" s="53"/>
    </row>
    <row r="700">
      <c r="F700" s="88"/>
      <c r="G700" s="53"/>
    </row>
    <row r="701">
      <c r="F701" s="88"/>
      <c r="G701" s="53"/>
    </row>
    <row r="702">
      <c r="F702" s="88"/>
      <c r="G702" s="53"/>
    </row>
    <row r="703">
      <c r="F703" s="88"/>
      <c r="G703" s="53"/>
    </row>
    <row r="704">
      <c r="F704" s="88"/>
      <c r="G704" s="53"/>
    </row>
    <row r="705">
      <c r="F705" s="88"/>
      <c r="G705" s="53"/>
    </row>
    <row r="706">
      <c r="F706" s="88"/>
      <c r="G706" s="53"/>
    </row>
    <row r="707">
      <c r="F707" s="88"/>
      <c r="G707" s="53"/>
    </row>
    <row r="708">
      <c r="F708" s="88"/>
      <c r="G708" s="53"/>
    </row>
    <row r="709">
      <c r="F709" s="88"/>
      <c r="G709" s="53"/>
    </row>
    <row r="710">
      <c r="F710" s="88"/>
      <c r="G710" s="53"/>
    </row>
    <row r="711">
      <c r="F711" s="88"/>
      <c r="G711" s="53"/>
    </row>
    <row r="712">
      <c r="F712" s="88"/>
      <c r="G712" s="53"/>
    </row>
    <row r="713">
      <c r="F713" s="88"/>
      <c r="G713" s="53"/>
    </row>
    <row r="714">
      <c r="F714" s="88"/>
      <c r="G714" s="53"/>
    </row>
    <row r="715">
      <c r="F715" s="88"/>
      <c r="G715" s="53"/>
    </row>
    <row r="716">
      <c r="F716" s="88"/>
      <c r="G716" s="53"/>
    </row>
    <row r="717">
      <c r="F717" s="88"/>
      <c r="G717" s="53"/>
    </row>
    <row r="718">
      <c r="F718" s="88"/>
      <c r="G718" s="53"/>
    </row>
    <row r="719">
      <c r="F719" s="88"/>
      <c r="G719" s="53"/>
    </row>
    <row r="720">
      <c r="F720" s="88"/>
      <c r="G720" s="53"/>
    </row>
    <row r="721">
      <c r="F721" s="88"/>
      <c r="G721" s="53"/>
    </row>
    <row r="722">
      <c r="F722" s="88"/>
      <c r="G722" s="53"/>
    </row>
    <row r="723">
      <c r="F723" s="88"/>
      <c r="G723" s="53"/>
    </row>
    <row r="724">
      <c r="F724" s="88"/>
      <c r="G724" s="53"/>
    </row>
    <row r="725">
      <c r="F725" s="88"/>
      <c r="G725" s="53"/>
    </row>
    <row r="726">
      <c r="F726" s="88"/>
      <c r="G726" s="53"/>
    </row>
    <row r="727">
      <c r="F727" s="88"/>
      <c r="G727" s="53"/>
    </row>
    <row r="728">
      <c r="F728" s="88"/>
      <c r="G728" s="53"/>
    </row>
    <row r="729">
      <c r="F729" s="88"/>
      <c r="G729" s="53"/>
    </row>
    <row r="730">
      <c r="F730" s="88"/>
      <c r="G730" s="53"/>
    </row>
    <row r="731">
      <c r="F731" s="88"/>
      <c r="G731" s="53"/>
    </row>
    <row r="732">
      <c r="F732" s="88"/>
      <c r="G732" s="53"/>
    </row>
    <row r="733">
      <c r="F733" s="88"/>
      <c r="G733" s="53"/>
    </row>
    <row r="734">
      <c r="F734" s="88"/>
      <c r="G734" s="53"/>
    </row>
    <row r="735">
      <c r="F735" s="88"/>
      <c r="G735" s="53"/>
    </row>
    <row r="736">
      <c r="F736" s="88"/>
      <c r="G736" s="53"/>
    </row>
    <row r="737">
      <c r="F737" s="88"/>
      <c r="G737" s="53"/>
    </row>
    <row r="738">
      <c r="F738" s="88"/>
      <c r="G738" s="53"/>
    </row>
    <row r="739">
      <c r="F739" s="88"/>
      <c r="G739" s="53"/>
    </row>
    <row r="740">
      <c r="F740" s="88"/>
      <c r="G740" s="53"/>
    </row>
    <row r="741">
      <c r="F741" s="88"/>
      <c r="G741" s="53"/>
    </row>
    <row r="742">
      <c r="F742" s="88"/>
      <c r="G742" s="53"/>
    </row>
    <row r="743">
      <c r="F743" s="88"/>
      <c r="G743" s="53"/>
    </row>
    <row r="744">
      <c r="F744" s="88"/>
      <c r="G744" s="53"/>
    </row>
    <row r="745">
      <c r="F745" s="88"/>
      <c r="G745" s="53"/>
    </row>
    <row r="746">
      <c r="F746" s="88"/>
      <c r="G746" s="53"/>
    </row>
    <row r="747">
      <c r="F747" s="88"/>
      <c r="G747" s="53"/>
    </row>
    <row r="748">
      <c r="F748" s="88"/>
      <c r="G748" s="53"/>
    </row>
    <row r="749">
      <c r="F749" s="88"/>
      <c r="G749" s="53"/>
    </row>
    <row r="750">
      <c r="F750" s="88"/>
      <c r="G750" s="53"/>
    </row>
    <row r="751">
      <c r="F751" s="88"/>
      <c r="G751" s="53"/>
    </row>
    <row r="752">
      <c r="F752" s="88"/>
      <c r="G752" s="53"/>
    </row>
    <row r="753">
      <c r="F753" s="88"/>
      <c r="G753" s="53"/>
    </row>
    <row r="754">
      <c r="F754" s="88"/>
      <c r="G754" s="53"/>
    </row>
    <row r="755">
      <c r="F755" s="88"/>
      <c r="G755" s="53"/>
    </row>
    <row r="756">
      <c r="F756" s="88"/>
      <c r="G756" s="53"/>
    </row>
    <row r="757">
      <c r="F757" s="88"/>
      <c r="G757" s="53"/>
    </row>
    <row r="758">
      <c r="F758" s="88"/>
      <c r="G758" s="53"/>
    </row>
    <row r="759">
      <c r="F759" s="88"/>
      <c r="G759" s="53"/>
    </row>
    <row r="760">
      <c r="F760" s="88"/>
      <c r="G760" s="53"/>
    </row>
    <row r="761">
      <c r="F761" s="88"/>
      <c r="G761" s="53"/>
    </row>
    <row r="762">
      <c r="F762" s="88"/>
      <c r="G762" s="53"/>
    </row>
    <row r="763">
      <c r="F763" s="88"/>
      <c r="G763" s="53"/>
    </row>
    <row r="764">
      <c r="F764" s="88"/>
      <c r="G764" s="53"/>
    </row>
    <row r="765">
      <c r="F765" s="88"/>
      <c r="G765" s="53"/>
    </row>
    <row r="766">
      <c r="F766" s="88"/>
      <c r="G766" s="53"/>
    </row>
    <row r="767">
      <c r="F767" s="88"/>
      <c r="G767" s="53"/>
    </row>
    <row r="768">
      <c r="F768" s="88"/>
      <c r="G768" s="53"/>
    </row>
    <row r="769">
      <c r="F769" s="88"/>
      <c r="G769" s="53"/>
    </row>
    <row r="770">
      <c r="F770" s="88"/>
      <c r="G770" s="53"/>
    </row>
    <row r="771">
      <c r="F771" s="88"/>
      <c r="G771" s="53"/>
    </row>
    <row r="772">
      <c r="F772" s="88"/>
      <c r="G772" s="53"/>
    </row>
    <row r="773">
      <c r="F773" s="88"/>
      <c r="G773" s="53"/>
    </row>
    <row r="774">
      <c r="F774" s="88"/>
      <c r="G774" s="53"/>
    </row>
    <row r="775">
      <c r="F775" s="88"/>
      <c r="G775" s="53"/>
    </row>
    <row r="776">
      <c r="F776" s="88"/>
      <c r="G776" s="53"/>
    </row>
    <row r="777">
      <c r="F777" s="88"/>
      <c r="G777" s="53"/>
    </row>
    <row r="778">
      <c r="F778" s="88"/>
      <c r="G778" s="53"/>
    </row>
    <row r="779">
      <c r="F779" s="88"/>
      <c r="G779" s="53"/>
    </row>
    <row r="780">
      <c r="F780" s="88"/>
      <c r="G780" s="53"/>
    </row>
    <row r="781">
      <c r="F781" s="88"/>
      <c r="G781" s="53"/>
    </row>
    <row r="782">
      <c r="F782" s="88"/>
      <c r="G782" s="53"/>
    </row>
    <row r="783">
      <c r="F783" s="88"/>
      <c r="G783" s="53"/>
    </row>
    <row r="784">
      <c r="F784" s="88"/>
      <c r="G784" s="53"/>
    </row>
    <row r="785">
      <c r="F785" s="88"/>
      <c r="G785" s="53"/>
    </row>
    <row r="786">
      <c r="F786" s="88"/>
      <c r="G786" s="53"/>
    </row>
    <row r="787">
      <c r="F787" s="88"/>
      <c r="G787" s="53"/>
    </row>
    <row r="788">
      <c r="F788" s="88"/>
      <c r="G788" s="53"/>
    </row>
    <row r="789">
      <c r="F789" s="88"/>
      <c r="G789" s="53"/>
    </row>
    <row r="790">
      <c r="F790" s="88"/>
      <c r="G790" s="53"/>
    </row>
    <row r="791">
      <c r="F791" s="88"/>
      <c r="G791" s="53"/>
    </row>
    <row r="792">
      <c r="F792" s="88"/>
      <c r="G792" s="53"/>
    </row>
    <row r="793">
      <c r="F793" s="88"/>
      <c r="G793" s="53"/>
    </row>
    <row r="794">
      <c r="F794" s="88"/>
      <c r="G794" s="53"/>
    </row>
    <row r="795">
      <c r="F795" s="88"/>
      <c r="G795" s="53"/>
    </row>
    <row r="796">
      <c r="F796" s="88"/>
      <c r="G796" s="53"/>
    </row>
    <row r="797">
      <c r="F797" s="88"/>
      <c r="G797" s="53"/>
    </row>
    <row r="798">
      <c r="F798" s="88"/>
      <c r="G798" s="53"/>
    </row>
    <row r="799">
      <c r="F799" s="88"/>
      <c r="G799" s="53"/>
    </row>
    <row r="800">
      <c r="F800" s="88"/>
      <c r="G800" s="53"/>
    </row>
    <row r="801">
      <c r="F801" s="88"/>
      <c r="G801" s="53"/>
    </row>
    <row r="802">
      <c r="F802" s="88"/>
      <c r="G802" s="53"/>
    </row>
    <row r="803">
      <c r="F803" s="88"/>
      <c r="G803" s="53"/>
    </row>
    <row r="804">
      <c r="F804" s="88"/>
      <c r="G804" s="53"/>
    </row>
    <row r="805">
      <c r="F805" s="88"/>
      <c r="G805" s="53"/>
    </row>
    <row r="806">
      <c r="F806" s="88"/>
      <c r="G806" s="53"/>
    </row>
    <row r="807">
      <c r="F807" s="88"/>
      <c r="G807" s="53"/>
    </row>
    <row r="808">
      <c r="F808" s="88"/>
      <c r="G808" s="53"/>
    </row>
    <row r="809">
      <c r="F809" s="88"/>
      <c r="G809" s="53"/>
    </row>
    <row r="810">
      <c r="F810" s="88"/>
      <c r="G810" s="53"/>
    </row>
    <row r="811">
      <c r="F811" s="88"/>
      <c r="G811" s="53"/>
    </row>
    <row r="812">
      <c r="F812" s="88"/>
      <c r="G812" s="53"/>
    </row>
    <row r="813">
      <c r="F813" s="88"/>
      <c r="G813" s="53"/>
    </row>
    <row r="814">
      <c r="F814" s="88"/>
      <c r="G814" s="53"/>
    </row>
    <row r="815">
      <c r="F815" s="88"/>
      <c r="G815" s="53"/>
    </row>
    <row r="816">
      <c r="F816" s="88"/>
      <c r="G816" s="53"/>
    </row>
    <row r="817">
      <c r="F817" s="88"/>
      <c r="G817" s="53"/>
    </row>
    <row r="818">
      <c r="F818" s="88"/>
      <c r="G818" s="53"/>
    </row>
    <row r="819">
      <c r="F819" s="88"/>
      <c r="G819" s="53"/>
    </row>
    <row r="820">
      <c r="F820" s="88"/>
      <c r="G820" s="53"/>
    </row>
    <row r="821">
      <c r="F821" s="88"/>
      <c r="G821" s="53"/>
    </row>
    <row r="822">
      <c r="F822" s="88"/>
      <c r="G822" s="53"/>
    </row>
    <row r="823">
      <c r="F823" s="88"/>
      <c r="G823" s="53"/>
    </row>
    <row r="824">
      <c r="F824" s="88"/>
      <c r="G824" s="53"/>
    </row>
    <row r="825">
      <c r="F825" s="88"/>
      <c r="G825" s="53"/>
    </row>
    <row r="826">
      <c r="F826" s="88"/>
      <c r="G826" s="53"/>
    </row>
    <row r="827">
      <c r="F827" s="88"/>
      <c r="G827" s="53"/>
    </row>
    <row r="828">
      <c r="F828" s="88"/>
      <c r="G828" s="53"/>
    </row>
    <row r="829">
      <c r="F829" s="88"/>
      <c r="G829" s="53"/>
    </row>
    <row r="830">
      <c r="F830" s="88"/>
      <c r="G830" s="53"/>
    </row>
    <row r="831">
      <c r="F831" s="88"/>
      <c r="G831" s="53"/>
    </row>
    <row r="832">
      <c r="F832" s="88"/>
      <c r="G832" s="53"/>
    </row>
    <row r="833">
      <c r="F833" s="88"/>
      <c r="G833" s="53"/>
    </row>
    <row r="834">
      <c r="F834" s="88"/>
      <c r="G834" s="53"/>
    </row>
    <row r="835">
      <c r="F835" s="88"/>
      <c r="G835" s="53"/>
    </row>
    <row r="836">
      <c r="F836" s="88"/>
      <c r="G836" s="53"/>
    </row>
    <row r="837">
      <c r="F837" s="88"/>
      <c r="G837" s="53"/>
    </row>
    <row r="838">
      <c r="F838" s="88"/>
      <c r="G838" s="53"/>
    </row>
    <row r="839">
      <c r="F839" s="88"/>
      <c r="G839" s="53"/>
    </row>
    <row r="840">
      <c r="F840" s="88"/>
      <c r="G840" s="53"/>
    </row>
    <row r="841">
      <c r="F841" s="88"/>
      <c r="G841" s="53"/>
    </row>
    <row r="842">
      <c r="F842" s="88"/>
      <c r="G842" s="53"/>
    </row>
    <row r="843">
      <c r="F843" s="88"/>
      <c r="G843" s="53"/>
    </row>
    <row r="844">
      <c r="F844" s="88"/>
      <c r="G844" s="53"/>
    </row>
    <row r="845">
      <c r="F845" s="88"/>
      <c r="G845" s="53"/>
    </row>
    <row r="846">
      <c r="F846" s="88"/>
      <c r="G846" s="53"/>
    </row>
    <row r="847">
      <c r="F847" s="88"/>
      <c r="G847" s="53"/>
    </row>
    <row r="848">
      <c r="F848" s="88"/>
      <c r="G848" s="53"/>
    </row>
    <row r="849">
      <c r="F849" s="88"/>
      <c r="G849" s="53"/>
    </row>
    <row r="850">
      <c r="F850" s="88"/>
      <c r="G850" s="53"/>
    </row>
    <row r="851">
      <c r="F851" s="88"/>
      <c r="G851" s="53"/>
    </row>
    <row r="852">
      <c r="F852" s="88"/>
      <c r="G852" s="53"/>
    </row>
    <row r="853">
      <c r="F853" s="88"/>
      <c r="G853" s="53"/>
    </row>
    <row r="854">
      <c r="F854" s="88"/>
      <c r="G854" s="53"/>
    </row>
    <row r="855">
      <c r="F855" s="88"/>
      <c r="G855" s="53"/>
    </row>
    <row r="856">
      <c r="F856" s="88"/>
      <c r="G856" s="53"/>
    </row>
    <row r="857">
      <c r="F857" s="88"/>
      <c r="G857" s="53"/>
    </row>
    <row r="858">
      <c r="F858" s="88"/>
      <c r="G858" s="53"/>
    </row>
    <row r="859">
      <c r="F859" s="88"/>
      <c r="G859" s="53"/>
    </row>
    <row r="860">
      <c r="F860" s="88"/>
      <c r="G860" s="53"/>
    </row>
    <row r="861">
      <c r="F861" s="88"/>
      <c r="G861" s="53"/>
    </row>
    <row r="862">
      <c r="F862" s="88"/>
      <c r="G862" s="53"/>
    </row>
    <row r="863">
      <c r="F863" s="88"/>
      <c r="G863" s="53"/>
    </row>
    <row r="864">
      <c r="F864" s="88"/>
      <c r="G864" s="53"/>
    </row>
    <row r="865">
      <c r="F865" s="88"/>
      <c r="G865" s="53"/>
    </row>
    <row r="866">
      <c r="F866" s="88"/>
      <c r="G866" s="53"/>
    </row>
    <row r="867">
      <c r="F867" s="88"/>
      <c r="G867" s="53"/>
    </row>
    <row r="868">
      <c r="F868" s="88"/>
      <c r="G868" s="53"/>
    </row>
    <row r="869">
      <c r="F869" s="88"/>
      <c r="G869" s="53"/>
    </row>
    <row r="870">
      <c r="F870" s="88"/>
      <c r="G870" s="53"/>
    </row>
    <row r="871">
      <c r="F871" s="88"/>
      <c r="G871" s="53"/>
    </row>
    <row r="872">
      <c r="F872" s="88"/>
      <c r="G872" s="53"/>
    </row>
    <row r="873">
      <c r="F873" s="88"/>
      <c r="G873" s="53"/>
    </row>
    <row r="874">
      <c r="F874" s="88"/>
      <c r="G874" s="53"/>
    </row>
    <row r="875">
      <c r="F875" s="88"/>
      <c r="G875" s="53"/>
    </row>
    <row r="876">
      <c r="F876" s="88"/>
      <c r="G876" s="53"/>
    </row>
    <row r="877">
      <c r="F877" s="88"/>
      <c r="G877" s="53"/>
    </row>
    <row r="878">
      <c r="F878" s="88"/>
      <c r="G878" s="53"/>
    </row>
    <row r="879">
      <c r="F879" s="88"/>
      <c r="G879" s="53"/>
    </row>
    <row r="880">
      <c r="F880" s="88"/>
      <c r="G880" s="53"/>
    </row>
    <row r="881">
      <c r="F881" s="88"/>
      <c r="G881" s="53"/>
    </row>
    <row r="882">
      <c r="F882" s="88"/>
      <c r="G882" s="53"/>
    </row>
    <row r="883">
      <c r="F883" s="88"/>
      <c r="G883" s="53"/>
    </row>
    <row r="884">
      <c r="F884" s="88"/>
      <c r="G884" s="53"/>
    </row>
    <row r="885">
      <c r="F885" s="88"/>
      <c r="G885" s="53"/>
    </row>
    <row r="886">
      <c r="F886" s="88"/>
      <c r="G886" s="53"/>
    </row>
    <row r="887">
      <c r="F887" s="88"/>
      <c r="G887" s="53"/>
    </row>
    <row r="888">
      <c r="F888" s="88"/>
      <c r="G888" s="53"/>
    </row>
    <row r="889">
      <c r="F889" s="88"/>
      <c r="G889" s="53"/>
    </row>
    <row r="890">
      <c r="F890" s="88"/>
      <c r="G890" s="53"/>
    </row>
    <row r="891">
      <c r="F891" s="88"/>
      <c r="G891" s="53"/>
    </row>
    <row r="892">
      <c r="F892" s="88"/>
      <c r="G892" s="53"/>
    </row>
    <row r="893">
      <c r="F893" s="88"/>
      <c r="G893" s="53"/>
    </row>
    <row r="894">
      <c r="F894" s="88"/>
      <c r="G894" s="53"/>
    </row>
    <row r="895">
      <c r="F895" s="88"/>
      <c r="G895" s="53"/>
    </row>
    <row r="896">
      <c r="F896" s="88"/>
      <c r="G896" s="53"/>
    </row>
    <row r="897">
      <c r="F897" s="88"/>
      <c r="G897" s="53"/>
    </row>
    <row r="898">
      <c r="F898" s="88"/>
      <c r="G898" s="53"/>
    </row>
    <row r="899">
      <c r="F899" s="88"/>
      <c r="G899" s="53"/>
    </row>
    <row r="900">
      <c r="F900" s="88"/>
      <c r="G900" s="53"/>
    </row>
    <row r="901">
      <c r="F901" s="88"/>
      <c r="G901" s="53"/>
    </row>
    <row r="902">
      <c r="F902" s="88"/>
      <c r="G902" s="53"/>
    </row>
    <row r="903">
      <c r="F903" s="88"/>
      <c r="G903" s="53"/>
    </row>
    <row r="904">
      <c r="F904" s="88"/>
      <c r="G904" s="53"/>
    </row>
    <row r="905">
      <c r="F905" s="88"/>
      <c r="G905" s="53"/>
    </row>
    <row r="906">
      <c r="F906" s="88"/>
      <c r="G906" s="53"/>
    </row>
    <row r="907">
      <c r="F907" s="88"/>
      <c r="G907" s="53"/>
    </row>
    <row r="908">
      <c r="F908" s="88"/>
      <c r="G908" s="53"/>
    </row>
    <row r="909">
      <c r="F909" s="88"/>
      <c r="G909" s="53"/>
    </row>
    <row r="910">
      <c r="F910" s="88"/>
      <c r="G910" s="53"/>
    </row>
    <row r="911">
      <c r="F911" s="88"/>
      <c r="G911" s="53"/>
    </row>
    <row r="912">
      <c r="F912" s="88"/>
      <c r="G912" s="53"/>
    </row>
    <row r="913">
      <c r="F913" s="88"/>
      <c r="G913" s="53"/>
    </row>
    <row r="914">
      <c r="F914" s="88"/>
      <c r="G914" s="53"/>
    </row>
    <row r="915">
      <c r="F915" s="88"/>
      <c r="G915" s="53"/>
    </row>
    <row r="916">
      <c r="F916" s="88"/>
      <c r="G916" s="53"/>
    </row>
    <row r="917">
      <c r="F917" s="88"/>
      <c r="G917" s="53"/>
    </row>
    <row r="918">
      <c r="F918" s="88"/>
      <c r="G918" s="53"/>
    </row>
    <row r="919">
      <c r="F919" s="88"/>
      <c r="G919" s="53"/>
    </row>
    <row r="920">
      <c r="F920" s="88"/>
      <c r="G920" s="53"/>
    </row>
    <row r="921">
      <c r="F921" s="88"/>
      <c r="G921" s="53"/>
    </row>
    <row r="922">
      <c r="F922" s="88"/>
      <c r="G922" s="53"/>
    </row>
    <row r="923">
      <c r="F923" s="88"/>
      <c r="G923" s="53"/>
    </row>
    <row r="924">
      <c r="F924" s="88"/>
      <c r="G924" s="53"/>
    </row>
    <row r="925">
      <c r="F925" s="88"/>
      <c r="G925" s="53"/>
    </row>
    <row r="926">
      <c r="F926" s="88"/>
      <c r="G926" s="53"/>
    </row>
    <row r="927">
      <c r="F927" s="88"/>
      <c r="G927" s="53"/>
    </row>
    <row r="928">
      <c r="F928" s="88"/>
      <c r="G928" s="53"/>
    </row>
    <row r="929">
      <c r="F929" s="88"/>
      <c r="G929" s="53"/>
    </row>
    <row r="930">
      <c r="F930" s="88"/>
      <c r="G930" s="53"/>
    </row>
    <row r="931">
      <c r="F931" s="88"/>
      <c r="G931" s="53"/>
    </row>
    <row r="932">
      <c r="F932" s="88"/>
      <c r="G932" s="53"/>
    </row>
    <row r="933">
      <c r="F933" s="88"/>
      <c r="G933" s="53"/>
    </row>
    <row r="934">
      <c r="F934" s="88"/>
      <c r="G934" s="53"/>
    </row>
    <row r="935">
      <c r="F935" s="88"/>
      <c r="G935" s="53"/>
    </row>
    <row r="936">
      <c r="F936" s="88"/>
      <c r="G936" s="53"/>
    </row>
    <row r="937">
      <c r="F937" s="88"/>
      <c r="G937" s="53"/>
    </row>
    <row r="938">
      <c r="F938" s="88"/>
      <c r="G938" s="53"/>
    </row>
    <row r="939">
      <c r="F939" s="88"/>
      <c r="G939" s="53"/>
    </row>
    <row r="940">
      <c r="F940" s="88"/>
      <c r="G940" s="53"/>
    </row>
    <row r="941">
      <c r="F941" s="88"/>
      <c r="G941" s="53"/>
    </row>
    <row r="942">
      <c r="F942" s="88"/>
      <c r="G942" s="53"/>
    </row>
    <row r="943">
      <c r="F943" s="88"/>
      <c r="G943" s="53"/>
    </row>
    <row r="944">
      <c r="F944" s="88"/>
      <c r="G944" s="53"/>
    </row>
    <row r="945">
      <c r="F945" s="88"/>
      <c r="G945" s="53"/>
    </row>
    <row r="946">
      <c r="F946" s="88"/>
      <c r="G946" s="53"/>
    </row>
    <row r="947">
      <c r="F947" s="88"/>
      <c r="G947" s="53"/>
    </row>
    <row r="948">
      <c r="F948" s="88"/>
      <c r="G948" s="53"/>
    </row>
    <row r="949">
      <c r="F949" s="88"/>
      <c r="G949" s="53"/>
    </row>
    <row r="950">
      <c r="F950" s="88"/>
      <c r="G950" s="53"/>
    </row>
    <row r="951">
      <c r="F951" s="88"/>
      <c r="G951" s="53"/>
    </row>
    <row r="952">
      <c r="F952" s="88"/>
      <c r="G952" s="53"/>
    </row>
    <row r="953">
      <c r="F953" s="88"/>
      <c r="G953" s="53"/>
    </row>
    <row r="954">
      <c r="F954" s="88"/>
      <c r="G954" s="53"/>
    </row>
    <row r="955">
      <c r="F955" s="88"/>
      <c r="G955" s="53"/>
    </row>
    <row r="956">
      <c r="F956" s="88"/>
      <c r="G956" s="53"/>
    </row>
    <row r="957">
      <c r="F957" s="88"/>
      <c r="G957" s="53"/>
    </row>
    <row r="958">
      <c r="F958" s="88"/>
      <c r="G958" s="53"/>
    </row>
    <row r="959">
      <c r="F959" s="88"/>
      <c r="G959" s="53"/>
    </row>
    <row r="960">
      <c r="F960" s="88"/>
      <c r="G960" s="53"/>
    </row>
    <row r="961">
      <c r="F961" s="88"/>
      <c r="G961" s="53"/>
    </row>
    <row r="962">
      <c r="F962" s="88"/>
      <c r="G962" s="53"/>
    </row>
    <row r="963">
      <c r="F963" s="88"/>
      <c r="G963" s="53"/>
    </row>
    <row r="964">
      <c r="F964" s="88"/>
      <c r="G964" s="53"/>
    </row>
    <row r="965">
      <c r="F965" s="88"/>
      <c r="G965" s="53"/>
    </row>
    <row r="966">
      <c r="F966" s="88"/>
      <c r="G966" s="53"/>
    </row>
    <row r="967">
      <c r="F967" s="88"/>
      <c r="G967" s="53"/>
    </row>
    <row r="968">
      <c r="F968" s="88"/>
      <c r="G968" s="53"/>
    </row>
    <row r="969">
      <c r="F969" s="88"/>
      <c r="G969" s="53"/>
    </row>
    <row r="970">
      <c r="F970" s="88"/>
      <c r="G970" s="53"/>
    </row>
    <row r="971">
      <c r="F971" s="88"/>
      <c r="G971" s="53"/>
    </row>
    <row r="972">
      <c r="F972" s="88"/>
      <c r="G972" s="53"/>
    </row>
    <row r="973">
      <c r="F973" s="88"/>
      <c r="G973" s="53"/>
    </row>
    <row r="974">
      <c r="F974" s="88"/>
      <c r="G974" s="53"/>
    </row>
    <row r="975">
      <c r="F975" s="88"/>
      <c r="G975" s="53"/>
    </row>
    <row r="976">
      <c r="F976" s="88"/>
      <c r="G976" s="53"/>
    </row>
    <row r="977">
      <c r="F977" s="88"/>
      <c r="G977" s="53"/>
    </row>
    <row r="978">
      <c r="F978" s="88"/>
      <c r="G978" s="53"/>
    </row>
    <row r="979">
      <c r="F979" s="88"/>
      <c r="G979" s="53"/>
    </row>
    <row r="980">
      <c r="F980" s="88"/>
      <c r="G980" s="53"/>
    </row>
    <row r="981">
      <c r="F981" s="88"/>
      <c r="G981" s="53"/>
    </row>
    <row r="982">
      <c r="F982" s="88"/>
      <c r="G982" s="53"/>
    </row>
    <row r="983">
      <c r="F983" s="88"/>
      <c r="G983" s="53"/>
    </row>
    <row r="984">
      <c r="F984" s="88"/>
      <c r="G984" s="53"/>
    </row>
    <row r="985">
      <c r="F985" s="88"/>
      <c r="G985" s="53"/>
    </row>
    <row r="986">
      <c r="F986" s="88"/>
      <c r="G986" s="53"/>
    </row>
    <row r="987">
      <c r="F987" s="88"/>
      <c r="G987" s="53"/>
    </row>
    <row r="988">
      <c r="F988" s="88"/>
      <c r="G988" s="53"/>
    </row>
    <row r="989">
      <c r="F989" s="88"/>
      <c r="G989" s="53"/>
    </row>
    <row r="990">
      <c r="F990" s="88"/>
      <c r="G990" s="53"/>
    </row>
    <row r="991">
      <c r="F991" s="88"/>
      <c r="G991" s="53"/>
    </row>
    <row r="992">
      <c r="F992" s="88"/>
      <c r="G992" s="53"/>
    </row>
    <row r="993">
      <c r="F993" s="88"/>
      <c r="G993" s="53"/>
    </row>
    <row r="994">
      <c r="F994" s="88"/>
      <c r="G994" s="53"/>
    </row>
    <row r="995">
      <c r="F995" s="88"/>
      <c r="G995" s="53"/>
    </row>
    <row r="996">
      <c r="F996" s="88"/>
      <c r="G996" s="53"/>
    </row>
    <row r="997">
      <c r="F997" s="88"/>
      <c r="G997" s="53"/>
    </row>
    <row r="998">
      <c r="F998" s="88"/>
      <c r="G998" s="53"/>
    </row>
    <row r="999">
      <c r="F999" s="88"/>
      <c r="G999" s="53"/>
    </row>
    <row r="1000">
      <c r="F1000" s="88"/>
      <c r="G1000" s="53"/>
    </row>
    <row r="1001">
      <c r="F1001" s="88"/>
      <c r="G1001" s="53"/>
    </row>
    <row r="1002">
      <c r="F1002" s="88"/>
      <c r="G1002" s="53"/>
    </row>
    <row r="1003">
      <c r="F1003" s="88"/>
      <c r="G1003" s="53"/>
    </row>
    <row r="1004">
      <c r="F1004" s="88"/>
      <c r="G1004" s="53"/>
    </row>
    <row r="1005">
      <c r="F1005" s="88"/>
      <c r="G1005" s="53"/>
    </row>
  </sheetData>
  <mergeCells count="6">
    <mergeCell ref="A1:D1"/>
    <mergeCell ref="A9:D9"/>
    <mergeCell ref="A16:D16"/>
    <mergeCell ref="A22:D22"/>
    <mergeCell ref="A27:D27"/>
    <mergeCell ref="A32:D3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17.14"/>
    <col customWidth="1" min="3" max="3" width="37.29"/>
    <col customWidth="1" min="4" max="4" width="41.43"/>
    <col customWidth="1" min="6" max="6" width="207.29"/>
    <col customWidth="1" min="7" max="7" width="52.43"/>
    <col customWidth="1" min="10" max="10" width="24.14"/>
    <col customWidth="1" min="13" max="13" width="17.14"/>
  </cols>
  <sheetData>
    <row r="1">
      <c r="A1" s="4" t="s">
        <v>0</v>
      </c>
      <c r="B1" s="6"/>
      <c r="C1" s="6"/>
      <c r="D1" s="6"/>
      <c r="E1" s="8" t="s">
        <v>3</v>
      </c>
      <c r="F1" s="9" t="s">
        <v>4</v>
      </c>
      <c r="G1" s="10" t="s">
        <v>5</v>
      </c>
    </row>
    <row r="2">
      <c r="A2" s="5" t="s">
        <v>1</v>
      </c>
      <c r="B2" s="7" t="s">
        <v>2</v>
      </c>
      <c r="C2" s="11" t="s">
        <v>6</v>
      </c>
      <c r="D2" s="12" t="s">
        <v>7</v>
      </c>
      <c r="E2" s="8">
        <v>5.0</v>
      </c>
      <c r="F2" s="14" t="s">
        <v>260</v>
      </c>
      <c r="G2" s="20" t="s">
        <v>261</v>
      </c>
      <c r="J2" s="17" t="s">
        <v>43</v>
      </c>
      <c r="K2" s="8" t="s">
        <v>45</v>
      </c>
      <c r="L2" s="8" t="s">
        <v>46</v>
      </c>
      <c r="M2" s="8" t="s">
        <v>47</v>
      </c>
    </row>
    <row r="3">
      <c r="A3" s="5" t="s">
        <v>12</v>
      </c>
      <c r="B3" s="7" t="s">
        <v>2</v>
      </c>
      <c r="C3" s="11" t="s">
        <v>14</v>
      </c>
      <c r="D3" s="12" t="s">
        <v>15</v>
      </c>
      <c r="E3" s="8">
        <v>4.0</v>
      </c>
      <c r="F3" s="25" t="s">
        <v>266</v>
      </c>
      <c r="G3" s="20" t="s">
        <v>267</v>
      </c>
      <c r="J3" s="8" t="s">
        <v>2</v>
      </c>
      <c r="K3" s="8">
        <f>E8</f>
        <v>25</v>
      </c>
      <c r="L3" s="8">
        <v>30.0</v>
      </c>
      <c r="M3" s="28">
        <f t="shared" ref="M3:M9" si="1">K3/L3</f>
        <v>0.8333333333</v>
      </c>
    </row>
    <row r="4">
      <c r="A4" s="5" t="s">
        <v>18</v>
      </c>
      <c r="B4" s="7" t="s">
        <v>2</v>
      </c>
      <c r="C4" s="11" t="s">
        <v>19</v>
      </c>
      <c r="D4" s="12" t="s">
        <v>21</v>
      </c>
      <c r="E4" s="8">
        <v>5.0</v>
      </c>
      <c r="F4" s="25" t="s">
        <v>276</v>
      </c>
      <c r="G4" s="10"/>
      <c r="J4" s="8" t="s">
        <v>51</v>
      </c>
      <c r="K4" s="8">
        <f>E15</f>
        <v>20</v>
      </c>
      <c r="L4" s="8">
        <v>25.0</v>
      </c>
      <c r="M4" s="28">
        <f t="shared" si="1"/>
        <v>0.8</v>
      </c>
    </row>
    <row r="5">
      <c r="A5" s="5" t="s">
        <v>24</v>
      </c>
      <c r="B5" s="7" t="s">
        <v>2</v>
      </c>
      <c r="C5" s="11" t="s">
        <v>25</v>
      </c>
      <c r="D5" s="12" t="s">
        <v>26</v>
      </c>
      <c r="E5" s="8">
        <v>5.0</v>
      </c>
      <c r="F5" s="25" t="s">
        <v>279</v>
      </c>
      <c r="G5" s="20" t="s">
        <v>261</v>
      </c>
      <c r="J5" s="8" t="s">
        <v>84</v>
      </c>
      <c r="K5" s="8">
        <f>E21</f>
        <v>15</v>
      </c>
      <c r="L5" s="8">
        <v>20.0</v>
      </c>
      <c r="M5" s="28">
        <f t="shared" si="1"/>
        <v>0.75</v>
      </c>
    </row>
    <row r="6">
      <c r="A6" s="5" t="s">
        <v>29</v>
      </c>
      <c r="B6" s="7" t="s">
        <v>2</v>
      </c>
      <c r="C6" s="11" t="s">
        <v>30</v>
      </c>
      <c r="D6" s="12" t="s">
        <v>31</v>
      </c>
      <c r="E6" s="8">
        <v>3.0</v>
      </c>
      <c r="F6" s="25" t="s">
        <v>282</v>
      </c>
      <c r="G6" s="91"/>
      <c r="J6" s="8" t="s">
        <v>90</v>
      </c>
      <c r="K6" s="8">
        <f>E26</f>
        <v>12</v>
      </c>
      <c r="L6" s="8">
        <v>15.0</v>
      </c>
      <c r="M6" s="28">
        <f t="shared" si="1"/>
        <v>0.8</v>
      </c>
    </row>
    <row r="7">
      <c r="A7" s="5" t="s">
        <v>36</v>
      </c>
      <c r="B7" s="7" t="s">
        <v>2</v>
      </c>
      <c r="C7" s="11" t="s">
        <v>37</v>
      </c>
      <c r="D7" s="12" t="s">
        <v>38</v>
      </c>
      <c r="E7" s="8">
        <v>3.0</v>
      </c>
      <c r="F7" s="25" t="s">
        <v>284</v>
      </c>
      <c r="G7" s="10"/>
      <c r="J7" s="8" t="s">
        <v>110</v>
      </c>
      <c r="K7" s="8">
        <f>E31</f>
        <v>10</v>
      </c>
      <c r="L7" s="8">
        <v>15.0</v>
      </c>
      <c r="M7" s="28">
        <f t="shared" si="1"/>
        <v>0.6666666667</v>
      </c>
    </row>
    <row r="8">
      <c r="A8" s="39"/>
      <c r="B8" s="41"/>
      <c r="C8" s="43"/>
      <c r="D8" s="45"/>
      <c r="E8" s="28">
        <f>SUM(E2:E7)</f>
        <v>25</v>
      </c>
      <c r="F8" s="37"/>
      <c r="G8" s="10"/>
      <c r="J8" s="8" t="s">
        <v>122</v>
      </c>
      <c r="K8" s="8">
        <f>E39</f>
        <v>19</v>
      </c>
      <c r="L8" s="8">
        <v>30.0</v>
      </c>
      <c r="M8" s="28">
        <f t="shared" si="1"/>
        <v>0.6333333333</v>
      </c>
    </row>
    <row r="9">
      <c r="A9" s="18" t="s">
        <v>44</v>
      </c>
      <c r="B9" s="19"/>
      <c r="C9" s="19"/>
      <c r="D9" s="21"/>
      <c r="F9" s="70"/>
      <c r="G9" s="53"/>
      <c r="K9" s="28">
        <f t="shared" ref="K9:L9" si="2">SUM(K3:K8)</f>
        <v>101</v>
      </c>
      <c r="L9" s="28">
        <f t="shared" si="2"/>
        <v>135</v>
      </c>
      <c r="M9" s="28">
        <f t="shared" si="1"/>
        <v>0.7481481481</v>
      </c>
    </row>
    <row r="10">
      <c r="A10" s="22" t="s">
        <v>48</v>
      </c>
      <c r="B10" s="23" t="s">
        <v>51</v>
      </c>
      <c r="C10" s="24" t="s">
        <v>52</v>
      </c>
      <c r="D10" s="26" t="s">
        <v>54</v>
      </c>
      <c r="E10" s="8">
        <v>3.0</v>
      </c>
      <c r="F10" s="25" t="s">
        <v>290</v>
      </c>
      <c r="G10" s="20" t="s">
        <v>291</v>
      </c>
    </row>
    <row r="11">
      <c r="A11" s="22" t="s">
        <v>58</v>
      </c>
      <c r="B11" s="23" t="s">
        <v>51</v>
      </c>
      <c r="C11" s="24" t="s">
        <v>59</v>
      </c>
      <c r="D11" s="26" t="s">
        <v>60</v>
      </c>
      <c r="E11" s="8">
        <v>5.0</v>
      </c>
      <c r="F11" s="25" t="s">
        <v>293</v>
      </c>
      <c r="G11" s="29" t="s">
        <v>294</v>
      </c>
    </row>
    <row r="12">
      <c r="A12" s="22" t="s">
        <v>63</v>
      </c>
      <c r="B12" s="23" t="s">
        <v>51</v>
      </c>
      <c r="C12" s="24" t="s">
        <v>64</v>
      </c>
      <c r="D12" s="26" t="s">
        <v>65</v>
      </c>
      <c r="E12" s="8">
        <v>4.0</v>
      </c>
      <c r="F12" s="25" t="s">
        <v>295</v>
      </c>
      <c r="G12" s="10"/>
    </row>
    <row r="13">
      <c r="A13" s="22" t="s">
        <v>68</v>
      </c>
      <c r="B13" s="23" t="s">
        <v>51</v>
      </c>
      <c r="C13" s="24" t="s">
        <v>69</v>
      </c>
      <c r="D13" s="26" t="s">
        <v>70</v>
      </c>
      <c r="E13" s="8">
        <v>4.0</v>
      </c>
      <c r="F13" s="25" t="s">
        <v>296</v>
      </c>
      <c r="G13" s="20" t="s">
        <v>297</v>
      </c>
    </row>
    <row r="14">
      <c r="A14" s="22" t="s">
        <v>73</v>
      </c>
      <c r="B14" s="23" t="s">
        <v>51</v>
      </c>
      <c r="C14" s="24" t="s">
        <v>74</v>
      </c>
      <c r="D14" s="26" t="s">
        <v>76</v>
      </c>
      <c r="E14" s="8">
        <v>4.0</v>
      </c>
      <c r="F14" s="25" t="s">
        <v>298</v>
      </c>
      <c r="G14" s="20" t="s">
        <v>297</v>
      </c>
    </row>
    <row r="15">
      <c r="A15" s="61"/>
      <c r="B15" s="63"/>
      <c r="C15" s="64"/>
      <c r="D15" s="65"/>
      <c r="E15" s="28">
        <f>SUM(E10:E14)</f>
        <v>20</v>
      </c>
      <c r="F15" s="37"/>
      <c r="G15" s="10"/>
    </row>
    <row r="16">
      <c r="A16" s="30" t="s">
        <v>81</v>
      </c>
      <c r="B16" s="19"/>
      <c r="C16" s="19"/>
      <c r="D16" s="21"/>
      <c r="F16" s="70"/>
      <c r="G16" s="53"/>
    </row>
    <row r="17">
      <c r="A17" s="32" t="s">
        <v>83</v>
      </c>
      <c r="B17" s="33" t="s">
        <v>84</v>
      </c>
      <c r="C17" s="34" t="s">
        <v>85</v>
      </c>
      <c r="D17" s="35" t="s">
        <v>86</v>
      </c>
      <c r="E17" s="8">
        <v>3.0</v>
      </c>
      <c r="F17" s="25" t="s">
        <v>299</v>
      </c>
      <c r="G17" s="20" t="s">
        <v>300</v>
      </c>
    </row>
    <row r="18">
      <c r="A18" s="32" t="s">
        <v>93</v>
      </c>
      <c r="B18" s="33" t="s">
        <v>84</v>
      </c>
      <c r="C18" s="34" t="s">
        <v>94</v>
      </c>
      <c r="D18" s="35" t="s">
        <v>95</v>
      </c>
      <c r="E18" s="8">
        <v>4.0</v>
      </c>
      <c r="F18" s="25" t="s">
        <v>301</v>
      </c>
      <c r="G18" s="20" t="s">
        <v>302</v>
      </c>
    </row>
    <row r="19">
      <c r="A19" s="32" t="s">
        <v>99</v>
      </c>
      <c r="B19" s="33" t="s">
        <v>84</v>
      </c>
      <c r="C19" s="34" t="s">
        <v>100</v>
      </c>
      <c r="D19" s="35" t="s">
        <v>101</v>
      </c>
      <c r="E19" s="8">
        <v>4.0</v>
      </c>
      <c r="F19" s="25" t="s">
        <v>303</v>
      </c>
      <c r="G19" s="29" t="s">
        <v>304</v>
      </c>
    </row>
    <row r="20">
      <c r="A20" s="32" t="s">
        <v>104</v>
      </c>
      <c r="B20" s="33" t="s">
        <v>84</v>
      </c>
      <c r="C20" s="34" t="s">
        <v>106</v>
      </c>
      <c r="D20" s="35" t="s">
        <v>107</v>
      </c>
      <c r="E20" s="8">
        <v>4.0</v>
      </c>
      <c r="F20" s="25" t="s">
        <v>305</v>
      </c>
      <c r="G20" s="29" t="s">
        <v>306</v>
      </c>
    </row>
    <row r="21">
      <c r="A21" s="71"/>
      <c r="B21" s="72"/>
      <c r="C21" s="73"/>
      <c r="D21" s="74"/>
      <c r="E21" s="28">
        <f>SUM(E17:E20)</f>
        <v>15</v>
      </c>
      <c r="F21" s="37"/>
      <c r="G21" s="53"/>
    </row>
    <row r="22">
      <c r="A22" s="38" t="s">
        <v>112</v>
      </c>
      <c r="B22" s="19"/>
      <c r="C22" s="19"/>
      <c r="D22" s="21"/>
      <c r="F22" s="70"/>
      <c r="G22" s="53"/>
    </row>
    <row r="23">
      <c r="A23" s="40" t="s">
        <v>113</v>
      </c>
      <c r="B23" s="42" t="s">
        <v>90</v>
      </c>
      <c r="C23" s="44" t="s">
        <v>114</v>
      </c>
      <c r="D23" s="47" t="s">
        <v>115</v>
      </c>
      <c r="E23" s="8">
        <v>4.0</v>
      </c>
      <c r="F23" s="90" t="s">
        <v>307</v>
      </c>
      <c r="G23" s="29" t="s">
        <v>308</v>
      </c>
    </row>
    <row r="24">
      <c r="A24" s="40" t="s">
        <v>120</v>
      </c>
      <c r="B24" s="42" t="s">
        <v>90</v>
      </c>
      <c r="C24" s="44" t="s">
        <v>121</v>
      </c>
      <c r="D24" s="47" t="s">
        <v>123</v>
      </c>
      <c r="E24" s="8">
        <v>4.0</v>
      </c>
      <c r="F24" s="25" t="s">
        <v>309</v>
      </c>
      <c r="G24" s="20" t="s">
        <v>310</v>
      </c>
    </row>
    <row r="25">
      <c r="A25" s="40" t="s">
        <v>126</v>
      </c>
      <c r="B25" s="42" t="s">
        <v>90</v>
      </c>
      <c r="C25" s="44" t="s">
        <v>127</v>
      </c>
      <c r="D25" s="47" t="s">
        <v>128</v>
      </c>
      <c r="E25" s="8">
        <v>4.0</v>
      </c>
      <c r="F25" s="25" t="s">
        <v>311</v>
      </c>
      <c r="G25" s="29" t="s">
        <v>312</v>
      </c>
    </row>
    <row r="26">
      <c r="A26" s="75"/>
      <c r="B26" s="76"/>
      <c r="C26" s="77"/>
      <c r="D26" s="78"/>
      <c r="E26" s="28">
        <f>SUM(E23:E25)</f>
        <v>12</v>
      </c>
      <c r="F26" s="37"/>
      <c r="G26" s="10"/>
      <c r="H26" s="89"/>
    </row>
    <row r="27">
      <c r="A27" s="50" t="s">
        <v>132</v>
      </c>
      <c r="B27" s="19"/>
      <c r="C27" s="19"/>
      <c r="D27" s="21"/>
      <c r="F27" s="70"/>
      <c r="G27" s="53"/>
    </row>
    <row r="28">
      <c r="A28" s="51" t="s">
        <v>134</v>
      </c>
      <c r="B28" s="52" t="s">
        <v>110</v>
      </c>
      <c r="C28" s="54" t="s">
        <v>136</v>
      </c>
      <c r="D28" s="55" t="s">
        <v>137</v>
      </c>
      <c r="E28" s="8">
        <v>5.0</v>
      </c>
      <c r="F28" s="25" t="s">
        <v>313</v>
      </c>
      <c r="G28" s="20" t="s">
        <v>314</v>
      </c>
    </row>
    <row r="29">
      <c r="A29" s="51" t="s">
        <v>140</v>
      </c>
      <c r="B29" s="52" t="s">
        <v>110</v>
      </c>
      <c r="C29" s="54" t="s">
        <v>141</v>
      </c>
      <c r="D29" s="55" t="s">
        <v>142</v>
      </c>
      <c r="E29" s="8">
        <v>3.0</v>
      </c>
      <c r="F29" s="25" t="s">
        <v>315</v>
      </c>
      <c r="G29" s="29" t="s">
        <v>316</v>
      </c>
    </row>
    <row r="30">
      <c r="A30" s="51" t="s">
        <v>146</v>
      </c>
      <c r="B30" s="52" t="s">
        <v>110</v>
      </c>
      <c r="C30" s="54" t="s">
        <v>149</v>
      </c>
      <c r="D30" s="55" t="s">
        <v>150</v>
      </c>
      <c r="E30" s="8">
        <v>2.0</v>
      </c>
      <c r="F30" s="25" t="s">
        <v>317</v>
      </c>
      <c r="G30" s="20" t="s">
        <v>318</v>
      </c>
    </row>
    <row r="31">
      <c r="A31" s="80"/>
      <c r="B31" s="81"/>
      <c r="C31" s="82"/>
      <c r="D31" s="83"/>
      <c r="E31" s="28">
        <f>SUM(E28:E30)</f>
        <v>10</v>
      </c>
      <c r="F31" s="37"/>
      <c r="G31" s="10"/>
    </row>
    <row r="32">
      <c r="A32" s="57" t="s">
        <v>122</v>
      </c>
      <c r="B32" s="58"/>
      <c r="C32" s="58"/>
      <c r="D32" s="59"/>
      <c r="F32" s="70"/>
      <c r="G32" s="53"/>
    </row>
    <row r="33">
      <c r="A33" s="60" t="s">
        <v>159</v>
      </c>
      <c r="B33" s="62" t="s">
        <v>122</v>
      </c>
      <c r="C33" s="62" t="s">
        <v>161</v>
      </c>
      <c r="D33" s="62" t="s">
        <v>162</v>
      </c>
      <c r="E33" s="8">
        <v>4.0</v>
      </c>
      <c r="F33" s="25" t="s">
        <v>319</v>
      </c>
      <c r="G33" s="20" t="s">
        <v>320</v>
      </c>
    </row>
    <row r="34">
      <c r="A34" s="60" t="s">
        <v>165</v>
      </c>
      <c r="B34" s="62" t="s">
        <v>122</v>
      </c>
      <c r="C34" s="62" t="s">
        <v>166</v>
      </c>
      <c r="D34" s="62" t="s">
        <v>167</v>
      </c>
      <c r="E34" s="8">
        <v>2.0</v>
      </c>
      <c r="F34" s="25" t="s">
        <v>321</v>
      </c>
      <c r="G34" s="20" t="s">
        <v>322</v>
      </c>
    </row>
    <row r="35">
      <c r="A35" s="60" t="s">
        <v>170</v>
      </c>
      <c r="B35" s="62" t="s">
        <v>122</v>
      </c>
      <c r="C35" s="62" t="s">
        <v>171</v>
      </c>
      <c r="D35" s="62" t="s">
        <v>172</v>
      </c>
      <c r="E35" s="8">
        <v>2.0</v>
      </c>
      <c r="F35" s="25" t="s">
        <v>323</v>
      </c>
      <c r="G35" s="20" t="s">
        <v>324</v>
      </c>
    </row>
    <row r="36">
      <c r="A36" s="60" t="s">
        <v>175</v>
      </c>
      <c r="B36" s="62" t="s">
        <v>122</v>
      </c>
      <c r="C36" s="62" t="s">
        <v>176</v>
      </c>
      <c r="D36" s="62" t="s">
        <v>177</v>
      </c>
      <c r="E36" s="8">
        <v>5.0</v>
      </c>
      <c r="F36" s="25" t="s">
        <v>325</v>
      </c>
      <c r="G36" s="20" t="s">
        <v>310</v>
      </c>
    </row>
    <row r="37">
      <c r="A37" s="66" t="s">
        <v>184</v>
      </c>
      <c r="B37" s="62" t="s">
        <v>122</v>
      </c>
      <c r="C37" s="67" t="s">
        <v>185</v>
      </c>
      <c r="D37" s="68" t="s">
        <v>187</v>
      </c>
      <c r="E37" s="8">
        <v>4.0</v>
      </c>
      <c r="F37" s="25" t="s">
        <v>326</v>
      </c>
      <c r="G37" s="29" t="s">
        <v>327</v>
      </c>
    </row>
    <row r="38">
      <c r="A38" s="66" t="s">
        <v>192</v>
      </c>
      <c r="B38" s="62" t="s">
        <v>122</v>
      </c>
      <c r="C38" s="67" t="s">
        <v>193</v>
      </c>
      <c r="D38" s="68" t="s">
        <v>194</v>
      </c>
      <c r="E38" s="8">
        <v>2.0</v>
      </c>
      <c r="F38" s="25" t="s">
        <v>328</v>
      </c>
      <c r="G38" s="20" t="s">
        <v>329</v>
      </c>
    </row>
    <row r="39">
      <c r="A39" s="84"/>
      <c r="B39" s="85"/>
      <c r="C39" s="86"/>
      <c r="D39" s="87"/>
      <c r="E39" s="28">
        <f>SUM(E33:E38)</f>
        <v>19</v>
      </c>
      <c r="F39" s="92"/>
      <c r="G39" s="53"/>
    </row>
    <row r="40">
      <c r="F40" s="93"/>
      <c r="G40" s="53"/>
    </row>
    <row r="41">
      <c r="F41" s="88"/>
      <c r="G41" s="53"/>
    </row>
    <row r="42">
      <c r="F42" s="88"/>
      <c r="G42" s="53"/>
    </row>
    <row r="43">
      <c r="F43" s="88"/>
      <c r="G43" s="53"/>
    </row>
    <row r="44">
      <c r="F44" s="88"/>
      <c r="G44" s="53"/>
    </row>
    <row r="45">
      <c r="F45" s="88"/>
      <c r="G45" s="53"/>
    </row>
    <row r="46">
      <c r="F46" s="88"/>
      <c r="G46" s="53"/>
    </row>
    <row r="47">
      <c r="F47" s="88"/>
      <c r="G47" s="53"/>
    </row>
    <row r="48">
      <c r="F48" s="88"/>
      <c r="G48" s="53"/>
    </row>
    <row r="49">
      <c r="F49" s="88"/>
      <c r="G49" s="53"/>
    </row>
    <row r="50">
      <c r="F50" s="88"/>
      <c r="G50" s="53"/>
    </row>
    <row r="51">
      <c r="F51" s="88"/>
      <c r="G51" s="53"/>
    </row>
    <row r="52">
      <c r="F52" s="88"/>
      <c r="G52" s="53"/>
    </row>
    <row r="53">
      <c r="F53" s="88"/>
      <c r="G53" s="53"/>
    </row>
    <row r="54">
      <c r="F54" s="88"/>
      <c r="G54" s="53"/>
    </row>
    <row r="55">
      <c r="F55" s="88"/>
      <c r="G55" s="53"/>
    </row>
    <row r="56">
      <c r="F56" s="88"/>
      <c r="G56" s="53"/>
    </row>
    <row r="57">
      <c r="F57" s="88"/>
      <c r="G57" s="53"/>
    </row>
    <row r="58">
      <c r="F58" s="88"/>
      <c r="G58" s="53"/>
    </row>
    <row r="59">
      <c r="F59" s="88"/>
      <c r="G59" s="53"/>
    </row>
    <row r="60">
      <c r="F60" s="88"/>
      <c r="G60" s="53"/>
    </row>
    <row r="61">
      <c r="F61" s="88"/>
      <c r="G61" s="53"/>
    </row>
    <row r="62">
      <c r="F62" s="88"/>
      <c r="G62" s="53"/>
    </row>
    <row r="63">
      <c r="F63" s="88"/>
      <c r="G63" s="53"/>
    </row>
    <row r="64">
      <c r="F64" s="88"/>
      <c r="G64" s="53"/>
    </row>
    <row r="65">
      <c r="F65" s="88"/>
      <c r="G65" s="53"/>
    </row>
    <row r="66">
      <c r="F66" s="88"/>
      <c r="G66" s="53"/>
    </row>
    <row r="67">
      <c r="F67" s="88"/>
      <c r="G67" s="53"/>
    </row>
    <row r="68">
      <c r="F68" s="88"/>
      <c r="G68" s="53"/>
    </row>
    <row r="69">
      <c r="F69" s="88"/>
      <c r="G69" s="53"/>
    </row>
    <row r="70">
      <c r="F70" s="88"/>
      <c r="G70" s="53"/>
    </row>
    <row r="71">
      <c r="F71" s="88"/>
      <c r="G71" s="53"/>
    </row>
    <row r="72">
      <c r="F72" s="88"/>
      <c r="G72" s="53"/>
    </row>
    <row r="73">
      <c r="F73" s="88"/>
      <c r="G73" s="53"/>
    </row>
    <row r="74">
      <c r="F74" s="88"/>
      <c r="G74" s="53"/>
    </row>
    <row r="75">
      <c r="F75" s="88"/>
      <c r="G75" s="53"/>
    </row>
    <row r="76">
      <c r="F76" s="88"/>
      <c r="G76" s="53"/>
    </row>
    <row r="77">
      <c r="F77" s="88"/>
      <c r="G77" s="53"/>
    </row>
    <row r="78">
      <c r="F78" s="88"/>
      <c r="G78" s="53"/>
    </row>
    <row r="79">
      <c r="F79" s="88"/>
      <c r="G79" s="53"/>
    </row>
    <row r="80">
      <c r="F80" s="88"/>
      <c r="G80" s="53"/>
    </row>
    <row r="81">
      <c r="F81" s="88"/>
      <c r="G81" s="53"/>
    </row>
    <row r="82">
      <c r="F82" s="88"/>
      <c r="G82" s="53"/>
    </row>
    <row r="83">
      <c r="F83" s="88"/>
      <c r="G83" s="53"/>
    </row>
    <row r="84">
      <c r="F84" s="88"/>
      <c r="G84" s="53"/>
    </row>
    <row r="85">
      <c r="F85" s="88"/>
      <c r="G85" s="53"/>
    </row>
    <row r="86">
      <c r="F86" s="88"/>
      <c r="G86" s="53"/>
    </row>
    <row r="87">
      <c r="F87" s="88"/>
      <c r="G87" s="53"/>
    </row>
    <row r="88">
      <c r="F88" s="88"/>
      <c r="G88" s="53"/>
    </row>
    <row r="89">
      <c r="F89" s="88"/>
      <c r="G89" s="53"/>
    </row>
    <row r="90">
      <c r="F90" s="88"/>
      <c r="G90" s="53"/>
    </row>
    <row r="91">
      <c r="F91" s="88"/>
      <c r="G91" s="53"/>
    </row>
    <row r="92">
      <c r="F92" s="88"/>
      <c r="G92" s="53"/>
    </row>
    <row r="93">
      <c r="F93" s="88"/>
      <c r="G93" s="53"/>
    </row>
    <row r="94">
      <c r="F94" s="88"/>
      <c r="G94" s="53"/>
    </row>
    <row r="95">
      <c r="F95" s="88"/>
      <c r="G95" s="53"/>
    </row>
    <row r="96">
      <c r="F96" s="88"/>
      <c r="G96" s="53"/>
    </row>
    <row r="97">
      <c r="F97" s="88"/>
      <c r="G97" s="53"/>
    </row>
    <row r="98">
      <c r="F98" s="88"/>
      <c r="G98" s="53"/>
    </row>
    <row r="99">
      <c r="F99" s="88"/>
      <c r="G99" s="53"/>
    </row>
    <row r="100">
      <c r="F100" s="88"/>
      <c r="G100" s="53"/>
    </row>
    <row r="101">
      <c r="F101" s="88"/>
      <c r="G101" s="53"/>
    </row>
    <row r="102">
      <c r="F102" s="88"/>
      <c r="G102" s="53"/>
    </row>
    <row r="103">
      <c r="F103" s="88"/>
      <c r="G103" s="53"/>
    </row>
    <row r="104">
      <c r="F104" s="88"/>
      <c r="G104" s="53"/>
    </row>
    <row r="105">
      <c r="F105" s="88"/>
      <c r="G105" s="53"/>
    </row>
    <row r="106">
      <c r="F106" s="88"/>
      <c r="G106" s="53"/>
    </row>
    <row r="107">
      <c r="F107" s="88"/>
      <c r="G107" s="53"/>
    </row>
    <row r="108">
      <c r="F108" s="88"/>
      <c r="G108" s="53"/>
    </row>
    <row r="109">
      <c r="F109" s="88"/>
      <c r="G109" s="53"/>
    </row>
    <row r="110">
      <c r="F110" s="88"/>
      <c r="G110" s="53"/>
    </row>
    <row r="111">
      <c r="F111" s="88"/>
      <c r="G111" s="53"/>
    </row>
    <row r="112">
      <c r="F112" s="88"/>
      <c r="G112" s="53"/>
    </row>
    <row r="113">
      <c r="F113" s="88"/>
      <c r="G113" s="53"/>
    </row>
    <row r="114">
      <c r="F114" s="88"/>
      <c r="G114" s="53"/>
    </row>
    <row r="115">
      <c r="F115" s="88"/>
      <c r="G115" s="53"/>
    </row>
    <row r="116">
      <c r="F116" s="88"/>
      <c r="G116" s="53"/>
    </row>
    <row r="117">
      <c r="F117" s="88"/>
      <c r="G117" s="53"/>
    </row>
    <row r="118">
      <c r="F118" s="88"/>
      <c r="G118" s="53"/>
    </row>
    <row r="119">
      <c r="F119" s="88"/>
      <c r="G119" s="53"/>
    </row>
    <row r="120">
      <c r="F120" s="88"/>
      <c r="G120" s="53"/>
    </row>
    <row r="121">
      <c r="F121" s="88"/>
      <c r="G121" s="53"/>
    </row>
    <row r="122">
      <c r="F122" s="88"/>
      <c r="G122" s="53"/>
    </row>
    <row r="123">
      <c r="F123" s="88"/>
      <c r="G123" s="53"/>
    </row>
    <row r="124">
      <c r="F124" s="88"/>
      <c r="G124" s="53"/>
    </row>
    <row r="125">
      <c r="F125" s="88"/>
      <c r="G125" s="53"/>
    </row>
    <row r="126">
      <c r="F126" s="88"/>
      <c r="G126" s="53"/>
    </row>
    <row r="127">
      <c r="F127" s="88"/>
      <c r="G127" s="53"/>
    </row>
    <row r="128">
      <c r="F128" s="88"/>
      <c r="G128" s="53"/>
    </row>
    <row r="129">
      <c r="F129" s="88"/>
      <c r="G129" s="53"/>
    </row>
    <row r="130">
      <c r="F130" s="88"/>
      <c r="G130" s="53"/>
    </row>
    <row r="131">
      <c r="F131" s="88"/>
      <c r="G131" s="53"/>
    </row>
    <row r="132">
      <c r="F132" s="88"/>
      <c r="G132" s="53"/>
    </row>
    <row r="133">
      <c r="F133" s="88"/>
      <c r="G133" s="53"/>
    </row>
    <row r="134">
      <c r="F134" s="88"/>
      <c r="G134" s="53"/>
    </row>
    <row r="135">
      <c r="F135" s="88"/>
      <c r="G135" s="53"/>
    </row>
    <row r="136">
      <c r="F136" s="88"/>
      <c r="G136" s="53"/>
    </row>
    <row r="137">
      <c r="F137" s="88"/>
      <c r="G137" s="53"/>
    </row>
    <row r="138">
      <c r="F138" s="88"/>
      <c r="G138" s="53"/>
    </row>
    <row r="139">
      <c r="F139" s="88"/>
      <c r="G139" s="53"/>
    </row>
    <row r="140">
      <c r="F140" s="88"/>
      <c r="G140" s="53"/>
    </row>
    <row r="141">
      <c r="F141" s="88"/>
      <c r="G141" s="53"/>
    </row>
    <row r="142">
      <c r="F142" s="88"/>
      <c r="G142" s="53"/>
    </row>
    <row r="143">
      <c r="F143" s="88"/>
      <c r="G143" s="53"/>
    </row>
    <row r="144">
      <c r="F144" s="88"/>
      <c r="G144" s="53"/>
    </row>
    <row r="145">
      <c r="F145" s="88"/>
      <c r="G145" s="53"/>
    </row>
    <row r="146">
      <c r="F146" s="88"/>
      <c r="G146" s="53"/>
    </row>
    <row r="147">
      <c r="F147" s="88"/>
      <c r="G147" s="53"/>
    </row>
    <row r="148">
      <c r="F148" s="88"/>
      <c r="G148" s="53"/>
    </row>
    <row r="149">
      <c r="F149" s="88"/>
      <c r="G149" s="53"/>
    </row>
    <row r="150">
      <c r="F150" s="88"/>
      <c r="G150" s="53"/>
    </row>
    <row r="151">
      <c r="F151" s="88"/>
      <c r="G151" s="53"/>
    </row>
    <row r="152">
      <c r="F152" s="88"/>
      <c r="G152" s="53"/>
    </row>
    <row r="153">
      <c r="F153" s="88"/>
      <c r="G153" s="53"/>
    </row>
    <row r="154">
      <c r="F154" s="88"/>
      <c r="G154" s="53"/>
    </row>
    <row r="155">
      <c r="F155" s="88"/>
      <c r="G155" s="53"/>
    </row>
    <row r="156">
      <c r="F156" s="88"/>
      <c r="G156" s="53"/>
    </row>
    <row r="157">
      <c r="F157" s="88"/>
      <c r="G157" s="53"/>
    </row>
    <row r="158">
      <c r="F158" s="88"/>
      <c r="G158" s="53"/>
    </row>
    <row r="159">
      <c r="F159" s="88"/>
      <c r="G159" s="53"/>
    </row>
    <row r="160">
      <c r="F160" s="88"/>
      <c r="G160" s="53"/>
    </row>
    <row r="161">
      <c r="F161" s="88"/>
      <c r="G161" s="53"/>
    </row>
    <row r="162">
      <c r="F162" s="88"/>
      <c r="G162" s="53"/>
    </row>
    <row r="163">
      <c r="F163" s="88"/>
      <c r="G163" s="53"/>
    </row>
    <row r="164">
      <c r="F164" s="88"/>
      <c r="G164" s="53"/>
    </row>
    <row r="165">
      <c r="F165" s="88"/>
      <c r="G165" s="53"/>
    </row>
    <row r="166">
      <c r="F166" s="88"/>
      <c r="G166" s="53"/>
    </row>
    <row r="167">
      <c r="F167" s="88"/>
      <c r="G167" s="53"/>
    </row>
    <row r="168">
      <c r="F168" s="88"/>
      <c r="G168" s="53"/>
    </row>
    <row r="169">
      <c r="F169" s="88"/>
      <c r="G169" s="53"/>
    </row>
    <row r="170">
      <c r="F170" s="88"/>
      <c r="G170" s="53"/>
    </row>
    <row r="171">
      <c r="F171" s="88"/>
      <c r="G171" s="53"/>
    </row>
    <row r="172">
      <c r="F172" s="88"/>
      <c r="G172" s="53"/>
    </row>
    <row r="173">
      <c r="F173" s="88"/>
      <c r="G173" s="53"/>
    </row>
    <row r="174">
      <c r="F174" s="88"/>
      <c r="G174" s="53"/>
    </row>
    <row r="175">
      <c r="F175" s="88"/>
      <c r="G175" s="53"/>
    </row>
    <row r="176">
      <c r="F176" s="88"/>
      <c r="G176" s="53"/>
    </row>
    <row r="177">
      <c r="F177" s="88"/>
      <c r="G177" s="53"/>
    </row>
    <row r="178">
      <c r="F178" s="88"/>
      <c r="G178" s="53"/>
    </row>
    <row r="179">
      <c r="F179" s="88"/>
      <c r="G179" s="53"/>
    </row>
    <row r="180">
      <c r="F180" s="88"/>
      <c r="G180" s="53"/>
    </row>
    <row r="181">
      <c r="F181" s="88"/>
      <c r="G181" s="53"/>
    </row>
    <row r="182">
      <c r="F182" s="88"/>
      <c r="G182" s="53"/>
    </row>
    <row r="183">
      <c r="F183" s="88"/>
      <c r="G183" s="53"/>
    </row>
    <row r="184">
      <c r="F184" s="88"/>
      <c r="G184" s="53"/>
    </row>
    <row r="185">
      <c r="F185" s="88"/>
      <c r="G185" s="53"/>
    </row>
    <row r="186">
      <c r="F186" s="88"/>
      <c r="G186" s="53"/>
    </row>
    <row r="187">
      <c r="F187" s="88"/>
      <c r="G187" s="53"/>
    </row>
    <row r="188">
      <c r="F188" s="88"/>
      <c r="G188" s="53"/>
    </row>
    <row r="189">
      <c r="F189" s="88"/>
      <c r="G189" s="53"/>
    </row>
    <row r="190">
      <c r="F190" s="88"/>
      <c r="G190" s="53"/>
    </row>
    <row r="191">
      <c r="F191" s="88"/>
      <c r="G191" s="53"/>
    </row>
    <row r="192">
      <c r="F192" s="88"/>
      <c r="G192" s="53"/>
    </row>
    <row r="193">
      <c r="F193" s="88"/>
      <c r="G193" s="53"/>
    </row>
    <row r="194">
      <c r="F194" s="88"/>
      <c r="G194" s="53"/>
    </row>
    <row r="195">
      <c r="F195" s="88"/>
      <c r="G195" s="53"/>
    </row>
    <row r="196">
      <c r="F196" s="88"/>
      <c r="G196" s="53"/>
    </row>
    <row r="197">
      <c r="F197" s="88"/>
      <c r="G197" s="53"/>
    </row>
    <row r="198">
      <c r="F198" s="88"/>
      <c r="G198" s="53"/>
    </row>
    <row r="199">
      <c r="F199" s="88"/>
      <c r="G199" s="53"/>
    </row>
    <row r="200">
      <c r="F200" s="88"/>
      <c r="G200" s="53"/>
    </row>
    <row r="201">
      <c r="F201" s="88"/>
      <c r="G201" s="53"/>
    </row>
    <row r="202">
      <c r="F202" s="88"/>
      <c r="G202" s="53"/>
    </row>
    <row r="203">
      <c r="F203" s="88"/>
      <c r="G203" s="53"/>
    </row>
    <row r="204">
      <c r="F204" s="88"/>
      <c r="G204" s="53"/>
    </row>
    <row r="205">
      <c r="F205" s="88"/>
      <c r="G205" s="53"/>
    </row>
    <row r="206">
      <c r="F206" s="88"/>
      <c r="G206" s="53"/>
    </row>
    <row r="207">
      <c r="F207" s="88"/>
      <c r="G207" s="53"/>
    </row>
    <row r="208">
      <c r="F208" s="88"/>
      <c r="G208" s="53"/>
    </row>
    <row r="209">
      <c r="F209" s="88"/>
      <c r="G209" s="53"/>
    </row>
    <row r="210">
      <c r="F210" s="88"/>
      <c r="G210" s="53"/>
    </row>
    <row r="211">
      <c r="F211" s="88"/>
      <c r="G211" s="53"/>
    </row>
    <row r="212">
      <c r="F212" s="88"/>
      <c r="G212" s="53"/>
    </row>
    <row r="213">
      <c r="F213" s="88"/>
      <c r="G213" s="53"/>
    </row>
    <row r="214">
      <c r="F214" s="88"/>
      <c r="G214" s="53"/>
    </row>
    <row r="215">
      <c r="F215" s="88"/>
      <c r="G215" s="53"/>
    </row>
    <row r="216">
      <c r="F216" s="88"/>
      <c r="G216" s="53"/>
    </row>
    <row r="217">
      <c r="F217" s="88"/>
      <c r="G217" s="53"/>
    </row>
    <row r="218">
      <c r="F218" s="88"/>
      <c r="G218" s="53"/>
    </row>
    <row r="219">
      <c r="F219" s="88"/>
      <c r="G219" s="53"/>
    </row>
    <row r="220">
      <c r="F220" s="88"/>
      <c r="G220" s="53"/>
    </row>
    <row r="221">
      <c r="F221" s="88"/>
      <c r="G221" s="53"/>
    </row>
    <row r="222">
      <c r="F222" s="88"/>
      <c r="G222" s="53"/>
    </row>
    <row r="223">
      <c r="F223" s="88"/>
      <c r="G223" s="53"/>
    </row>
    <row r="224">
      <c r="F224" s="88"/>
      <c r="G224" s="53"/>
    </row>
    <row r="225">
      <c r="F225" s="88"/>
      <c r="G225" s="53"/>
    </row>
    <row r="226">
      <c r="F226" s="88"/>
      <c r="G226" s="53"/>
    </row>
    <row r="227">
      <c r="F227" s="88"/>
      <c r="G227" s="53"/>
    </row>
    <row r="228">
      <c r="F228" s="88"/>
      <c r="G228" s="53"/>
    </row>
    <row r="229">
      <c r="F229" s="88"/>
      <c r="G229" s="53"/>
    </row>
    <row r="230">
      <c r="F230" s="88"/>
      <c r="G230" s="53"/>
    </row>
    <row r="231">
      <c r="F231" s="88"/>
      <c r="G231" s="53"/>
    </row>
    <row r="232">
      <c r="F232" s="88"/>
      <c r="G232" s="53"/>
    </row>
    <row r="233">
      <c r="F233" s="88"/>
      <c r="G233" s="53"/>
    </row>
    <row r="234">
      <c r="F234" s="88"/>
      <c r="G234" s="53"/>
    </row>
    <row r="235">
      <c r="F235" s="88"/>
      <c r="G235" s="53"/>
    </row>
    <row r="236">
      <c r="F236" s="88"/>
      <c r="G236" s="53"/>
    </row>
    <row r="237">
      <c r="F237" s="88"/>
      <c r="G237" s="53"/>
    </row>
    <row r="238">
      <c r="F238" s="88"/>
      <c r="G238" s="53"/>
    </row>
    <row r="239">
      <c r="F239" s="88"/>
      <c r="G239" s="53"/>
    </row>
    <row r="240">
      <c r="F240" s="88"/>
      <c r="G240" s="53"/>
    </row>
    <row r="241">
      <c r="F241" s="88"/>
      <c r="G241" s="53"/>
    </row>
    <row r="242">
      <c r="F242" s="88"/>
      <c r="G242" s="53"/>
    </row>
    <row r="243">
      <c r="F243" s="88"/>
      <c r="G243" s="53"/>
    </row>
    <row r="244">
      <c r="F244" s="88"/>
      <c r="G244" s="53"/>
    </row>
    <row r="245">
      <c r="F245" s="88"/>
      <c r="G245" s="53"/>
    </row>
    <row r="246">
      <c r="F246" s="88"/>
      <c r="G246" s="53"/>
    </row>
    <row r="247">
      <c r="F247" s="88"/>
      <c r="G247" s="53"/>
    </row>
    <row r="248">
      <c r="F248" s="88"/>
      <c r="G248" s="53"/>
    </row>
    <row r="249">
      <c r="F249" s="88"/>
      <c r="G249" s="53"/>
    </row>
    <row r="250">
      <c r="F250" s="88"/>
      <c r="G250" s="53"/>
    </row>
    <row r="251">
      <c r="F251" s="88"/>
      <c r="G251" s="53"/>
    </row>
    <row r="252">
      <c r="F252" s="88"/>
      <c r="G252" s="53"/>
    </row>
    <row r="253">
      <c r="F253" s="88"/>
      <c r="G253" s="53"/>
    </row>
    <row r="254">
      <c r="F254" s="88"/>
      <c r="G254" s="53"/>
    </row>
    <row r="255">
      <c r="F255" s="88"/>
      <c r="G255" s="53"/>
    </row>
    <row r="256">
      <c r="F256" s="88"/>
      <c r="G256" s="53"/>
    </row>
    <row r="257">
      <c r="F257" s="88"/>
      <c r="G257" s="53"/>
    </row>
    <row r="258">
      <c r="F258" s="88"/>
      <c r="G258" s="53"/>
    </row>
    <row r="259">
      <c r="F259" s="88"/>
      <c r="G259" s="53"/>
    </row>
    <row r="260">
      <c r="F260" s="88"/>
      <c r="G260" s="53"/>
    </row>
    <row r="261">
      <c r="F261" s="88"/>
      <c r="G261" s="53"/>
    </row>
    <row r="262">
      <c r="F262" s="88"/>
      <c r="G262" s="53"/>
    </row>
    <row r="263">
      <c r="F263" s="88"/>
      <c r="G263" s="53"/>
    </row>
    <row r="264">
      <c r="F264" s="88"/>
      <c r="G264" s="53"/>
    </row>
    <row r="265">
      <c r="F265" s="88"/>
      <c r="G265" s="53"/>
    </row>
    <row r="266">
      <c r="F266" s="88"/>
      <c r="G266" s="53"/>
    </row>
    <row r="267">
      <c r="F267" s="88"/>
      <c r="G267" s="53"/>
    </row>
    <row r="268">
      <c r="F268" s="88"/>
      <c r="G268" s="53"/>
    </row>
    <row r="269">
      <c r="F269" s="88"/>
      <c r="G269" s="53"/>
    </row>
    <row r="270">
      <c r="F270" s="88"/>
      <c r="G270" s="53"/>
    </row>
    <row r="271">
      <c r="F271" s="88"/>
      <c r="G271" s="53"/>
    </row>
    <row r="272">
      <c r="F272" s="88"/>
      <c r="G272" s="53"/>
    </row>
    <row r="273">
      <c r="F273" s="88"/>
      <c r="G273" s="53"/>
    </row>
    <row r="274">
      <c r="F274" s="88"/>
      <c r="G274" s="53"/>
    </row>
    <row r="275">
      <c r="F275" s="88"/>
      <c r="G275" s="53"/>
    </row>
    <row r="276">
      <c r="F276" s="88"/>
      <c r="G276" s="53"/>
    </row>
    <row r="277">
      <c r="F277" s="88"/>
      <c r="G277" s="53"/>
    </row>
    <row r="278">
      <c r="F278" s="88"/>
      <c r="G278" s="53"/>
    </row>
    <row r="279">
      <c r="F279" s="88"/>
      <c r="G279" s="53"/>
    </row>
    <row r="280">
      <c r="F280" s="88"/>
      <c r="G280" s="53"/>
    </row>
    <row r="281">
      <c r="F281" s="88"/>
      <c r="G281" s="53"/>
    </row>
    <row r="282">
      <c r="F282" s="88"/>
      <c r="G282" s="53"/>
    </row>
    <row r="283">
      <c r="F283" s="88"/>
      <c r="G283" s="53"/>
    </row>
    <row r="284">
      <c r="F284" s="88"/>
      <c r="G284" s="53"/>
    </row>
    <row r="285">
      <c r="F285" s="88"/>
      <c r="G285" s="53"/>
    </row>
    <row r="286">
      <c r="F286" s="88"/>
      <c r="G286" s="53"/>
    </row>
    <row r="287">
      <c r="F287" s="88"/>
      <c r="G287" s="53"/>
    </row>
    <row r="288">
      <c r="F288" s="88"/>
      <c r="G288" s="53"/>
    </row>
    <row r="289">
      <c r="F289" s="88"/>
      <c r="G289" s="53"/>
    </row>
    <row r="290">
      <c r="F290" s="88"/>
      <c r="G290" s="53"/>
    </row>
    <row r="291">
      <c r="F291" s="88"/>
      <c r="G291" s="53"/>
    </row>
    <row r="292">
      <c r="F292" s="88"/>
      <c r="G292" s="53"/>
    </row>
    <row r="293">
      <c r="F293" s="88"/>
      <c r="G293" s="53"/>
    </row>
    <row r="294">
      <c r="F294" s="88"/>
      <c r="G294" s="53"/>
    </row>
    <row r="295">
      <c r="F295" s="88"/>
      <c r="G295" s="53"/>
    </row>
    <row r="296">
      <c r="F296" s="88"/>
      <c r="G296" s="53"/>
    </row>
    <row r="297">
      <c r="F297" s="88"/>
      <c r="G297" s="53"/>
    </row>
    <row r="298">
      <c r="F298" s="88"/>
      <c r="G298" s="53"/>
    </row>
    <row r="299">
      <c r="F299" s="88"/>
      <c r="G299" s="53"/>
    </row>
    <row r="300">
      <c r="F300" s="88"/>
      <c r="G300" s="53"/>
    </row>
    <row r="301">
      <c r="F301" s="88"/>
      <c r="G301" s="53"/>
    </row>
    <row r="302">
      <c r="F302" s="88"/>
      <c r="G302" s="53"/>
    </row>
    <row r="303">
      <c r="F303" s="88"/>
      <c r="G303" s="53"/>
    </row>
    <row r="304">
      <c r="F304" s="88"/>
      <c r="G304" s="53"/>
    </row>
    <row r="305">
      <c r="F305" s="88"/>
      <c r="G305" s="53"/>
    </row>
    <row r="306">
      <c r="F306" s="88"/>
      <c r="G306" s="53"/>
    </row>
    <row r="307">
      <c r="F307" s="88"/>
      <c r="G307" s="53"/>
    </row>
    <row r="308">
      <c r="F308" s="88"/>
      <c r="G308" s="53"/>
    </row>
    <row r="309">
      <c r="F309" s="88"/>
      <c r="G309" s="53"/>
    </row>
    <row r="310">
      <c r="F310" s="88"/>
      <c r="G310" s="53"/>
    </row>
    <row r="311">
      <c r="F311" s="88"/>
      <c r="G311" s="53"/>
    </row>
    <row r="312">
      <c r="F312" s="88"/>
      <c r="G312" s="53"/>
    </row>
    <row r="313">
      <c r="F313" s="88"/>
      <c r="G313" s="53"/>
    </row>
    <row r="314">
      <c r="F314" s="88"/>
      <c r="G314" s="53"/>
    </row>
    <row r="315">
      <c r="F315" s="88"/>
      <c r="G315" s="53"/>
    </row>
    <row r="316">
      <c r="F316" s="88"/>
      <c r="G316" s="53"/>
    </row>
    <row r="317">
      <c r="F317" s="88"/>
      <c r="G317" s="53"/>
    </row>
    <row r="318">
      <c r="F318" s="88"/>
      <c r="G318" s="53"/>
    </row>
    <row r="319">
      <c r="F319" s="88"/>
      <c r="G319" s="53"/>
    </row>
    <row r="320">
      <c r="F320" s="88"/>
      <c r="G320" s="53"/>
    </row>
    <row r="321">
      <c r="F321" s="88"/>
      <c r="G321" s="53"/>
    </row>
    <row r="322">
      <c r="F322" s="88"/>
      <c r="G322" s="53"/>
    </row>
    <row r="323">
      <c r="F323" s="88"/>
      <c r="G323" s="53"/>
    </row>
    <row r="324">
      <c r="F324" s="88"/>
      <c r="G324" s="53"/>
    </row>
    <row r="325">
      <c r="F325" s="88"/>
      <c r="G325" s="53"/>
    </row>
    <row r="326">
      <c r="F326" s="88"/>
      <c r="G326" s="53"/>
    </row>
    <row r="327">
      <c r="F327" s="88"/>
      <c r="G327" s="53"/>
    </row>
    <row r="328">
      <c r="F328" s="88"/>
      <c r="G328" s="53"/>
    </row>
    <row r="329">
      <c r="F329" s="88"/>
      <c r="G329" s="53"/>
    </row>
    <row r="330">
      <c r="F330" s="88"/>
      <c r="G330" s="53"/>
    </row>
    <row r="331">
      <c r="F331" s="88"/>
      <c r="G331" s="53"/>
    </row>
    <row r="332">
      <c r="F332" s="88"/>
      <c r="G332" s="53"/>
    </row>
    <row r="333">
      <c r="F333" s="88"/>
      <c r="G333" s="53"/>
    </row>
    <row r="334">
      <c r="F334" s="88"/>
      <c r="G334" s="53"/>
    </row>
    <row r="335">
      <c r="F335" s="88"/>
      <c r="G335" s="53"/>
    </row>
    <row r="336">
      <c r="F336" s="88"/>
      <c r="G336" s="53"/>
    </row>
    <row r="337">
      <c r="F337" s="88"/>
      <c r="G337" s="53"/>
    </row>
    <row r="338">
      <c r="F338" s="88"/>
      <c r="G338" s="53"/>
    </row>
    <row r="339">
      <c r="F339" s="88"/>
      <c r="G339" s="53"/>
    </row>
    <row r="340">
      <c r="F340" s="88"/>
      <c r="G340" s="53"/>
    </row>
    <row r="341">
      <c r="F341" s="88"/>
      <c r="G341" s="53"/>
    </row>
    <row r="342">
      <c r="F342" s="88"/>
      <c r="G342" s="53"/>
    </row>
    <row r="343">
      <c r="F343" s="88"/>
      <c r="G343" s="53"/>
    </row>
    <row r="344">
      <c r="F344" s="88"/>
      <c r="G344" s="53"/>
    </row>
    <row r="345">
      <c r="F345" s="88"/>
      <c r="G345" s="53"/>
    </row>
    <row r="346">
      <c r="F346" s="88"/>
      <c r="G346" s="53"/>
    </row>
    <row r="347">
      <c r="F347" s="88"/>
      <c r="G347" s="53"/>
    </row>
    <row r="348">
      <c r="F348" s="88"/>
      <c r="G348" s="53"/>
    </row>
    <row r="349">
      <c r="F349" s="88"/>
      <c r="G349" s="53"/>
    </row>
    <row r="350">
      <c r="F350" s="88"/>
      <c r="G350" s="53"/>
    </row>
    <row r="351">
      <c r="F351" s="88"/>
      <c r="G351" s="53"/>
    </row>
    <row r="352">
      <c r="F352" s="88"/>
      <c r="G352" s="53"/>
    </row>
    <row r="353">
      <c r="F353" s="88"/>
      <c r="G353" s="53"/>
    </row>
    <row r="354">
      <c r="F354" s="88"/>
      <c r="G354" s="53"/>
    </row>
    <row r="355">
      <c r="F355" s="88"/>
      <c r="G355" s="53"/>
    </row>
    <row r="356">
      <c r="F356" s="88"/>
      <c r="G356" s="53"/>
    </row>
    <row r="357">
      <c r="F357" s="88"/>
      <c r="G357" s="53"/>
    </row>
    <row r="358">
      <c r="F358" s="88"/>
      <c r="G358" s="53"/>
    </row>
    <row r="359">
      <c r="F359" s="88"/>
      <c r="G359" s="53"/>
    </row>
    <row r="360">
      <c r="F360" s="88"/>
      <c r="G360" s="53"/>
    </row>
    <row r="361">
      <c r="F361" s="88"/>
      <c r="G361" s="53"/>
    </row>
    <row r="362">
      <c r="F362" s="88"/>
      <c r="G362" s="53"/>
    </row>
    <row r="363">
      <c r="F363" s="88"/>
      <c r="G363" s="53"/>
    </row>
    <row r="364">
      <c r="F364" s="88"/>
      <c r="G364" s="53"/>
    </row>
    <row r="365">
      <c r="F365" s="88"/>
      <c r="G365" s="53"/>
    </row>
    <row r="366">
      <c r="F366" s="88"/>
      <c r="G366" s="53"/>
    </row>
    <row r="367">
      <c r="F367" s="88"/>
      <c r="G367" s="53"/>
    </row>
    <row r="368">
      <c r="F368" s="88"/>
      <c r="G368" s="53"/>
    </row>
    <row r="369">
      <c r="F369" s="88"/>
      <c r="G369" s="53"/>
    </row>
    <row r="370">
      <c r="F370" s="88"/>
      <c r="G370" s="53"/>
    </row>
    <row r="371">
      <c r="F371" s="88"/>
      <c r="G371" s="53"/>
    </row>
    <row r="372">
      <c r="F372" s="88"/>
      <c r="G372" s="53"/>
    </row>
    <row r="373">
      <c r="F373" s="88"/>
      <c r="G373" s="53"/>
    </row>
    <row r="374">
      <c r="F374" s="88"/>
      <c r="G374" s="53"/>
    </row>
    <row r="375">
      <c r="F375" s="88"/>
      <c r="G375" s="53"/>
    </row>
    <row r="376">
      <c r="F376" s="88"/>
      <c r="G376" s="53"/>
    </row>
    <row r="377">
      <c r="F377" s="88"/>
      <c r="G377" s="53"/>
    </row>
    <row r="378">
      <c r="F378" s="88"/>
      <c r="G378" s="53"/>
    </row>
    <row r="379">
      <c r="F379" s="88"/>
      <c r="G379" s="53"/>
    </row>
    <row r="380">
      <c r="F380" s="88"/>
      <c r="G380" s="53"/>
    </row>
    <row r="381">
      <c r="F381" s="88"/>
      <c r="G381" s="53"/>
    </row>
    <row r="382">
      <c r="F382" s="88"/>
      <c r="G382" s="53"/>
    </row>
    <row r="383">
      <c r="F383" s="88"/>
      <c r="G383" s="53"/>
    </row>
    <row r="384">
      <c r="F384" s="88"/>
      <c r="G384" s="53"/>
    </row>
    <row r="385">
      <c r="F385" s="88"/>
      <c r="G385" s="53"/>
    </row>
    <row r="386">
      <c r="F386" s="88"/>
      <c r="G386" s="53"/>
    </row>
    <row r="387">
      <c r="F387" s="88"/>
      <c r="G387" s="53"/>
    </row>
    <row r="388">
      <c r="F388" s="88"/>
      <c r="G388" s="53"/>
    </row>
    <row r="389">
      <c r="F389" s="88"/>
      <c r="G389" s="53"/>
    </row>
    <row r="390">
      <c r="F390" s="88"/>
      <c r="G390" s="53"/>
    </row>
    <row r="391">
      <c r="F391" s="88"/>
      <c r="G391" s="53"/>
    </row>
    <row r="392">
      <c r="F392" s="88"/>
      <c r="G392" s="53"/>
    </row>
    <row r="393">
      <c r="F393" s="88"/>
      <c r="G393" s="53"/>
    </row>
    <row r="394">
      <c r="F394" s="88"/>
      <c r="G394" s="53"/>
    </row>
    <row r="395">
      <c r="F395" s="88"/>
      <c r="G395" s="53"/>
    </row>
    <row r="396">
      <c r="F396" s="88"/>
      <c r="G396" s="53"/>
    </row>
    <row r="397">
      <c r="F397" s="88"/>
      <c r="G397" s="53"/>
    </row>
    <row r="398">
      <c r="F398" s="88"/>
      <c r="G398" s="53"/>
    </row>
    <row r="399">
      <c r="F399" s="88"/>
      <c r="G399" s="53"/>
    </row>
    <row r="400">
      <c r="F400" s="88"/>
      <c r="G400" s="53"/>
    </row>
    <row r="401">
      <c r="F401" s="88"/>
      <c r="G401" s="53"/>
    </row>
    <row r="402">
      <c r="F402" s="88"/>
      <c r="G402" s="53"/>
    </row>
    <row r="403">
      <c r="F403" s="88"/>
      <c r="G403" s="53"/>
    </row>
    <row r="404">
      <c r="F404" s="88"/>
      <c r="G404" s="53"/>
    </row>
    <row r="405">
      <c r="F405" s="88"/>
      <c r="G405" s="53"/>
    </row>
    <row r="406">
      <c r="F406" s="88"/>
      <c r="G406" s="53"/>
    </row>
    <row r="407">
      <c r="F407" s="88"/>
      <c r="G407" s="53"/>
    </row>
    <row r="408">
      <c r="F408" s="88"/>
      <c r="G408" s="53"/>
    </row>
    <row r="409">
      <c r="F409" s="88"/>
      <c r="G409" s="53"/>
    </row>
    <row r="410">
      <c r="F410" s="88"/>
      <c r="G410" s="53"/>
    </row>
    <row r="411">
      <c r="F411" s="88"/>
      <c r="G411" s="53"/>
    </row>
    <row r="412">
      <c r="F412" s="88"/>
      <c r="G412" s="53"/>
    </row>
    <row r="413">
      <c r="F413" s="88"/>
      <c r="G413" s="53"/>
    </row>
    <row r="414">
      <c r="F414" s="88"/>
      <c r="G414" s="53"/>
    </row>
    <row r="415">
      <c r="F415" s="88"/>
      <c r="G415" s="53"/>
    </row>
    <row r="416">
      <c r="F416" s="88"/>
      <c r="G416" s="53"/>
    </row>
    <row r="417">
      <c r="F417" s="88"/>
      <c r="G417" s="53"/>
    </row>
    <row r="418">
      <c r="F418" s="88"/>
      <c r="G418" s="53"/>
    </row>
    <row r="419">
      <c r="F419" s="88"/>
      <c r="G419" s="53"/>
    </row>
    <row r="420">
      <c r="F420" s="88"/>
      <c r="G420" s="53"/>
    </row>
    <row r="421">
      <c r="F421" s="88"/>
      <c r="G421" s="53"/>
    </row>
    <row r="422">
      <c r="F422" s="88"/>
      <c r="G422" s="53"/>
    </row>
    <row r="423">
      <c r="F423" s="88"/>
      <c r="G423" s="53"/>
    </row>
    <row r="424">
      <c r="F424" s="88"/>
      <c r="G424" s="53"/>
    </row>
    <row r="425">
      <c r="F425" s="88"/>
      <c r="G425" s="53"/>
    </row>
    <row r="426">
      <c r="F426" s="88"/>
      <c r="G426" s="53"/>
    </row>
    <row r="427">
      <c r="F427" s="88"/>
      <c r="G427" s="53"/>
    </row>
    <row r="428">
      <c r="F428" s="88"/>
      <c r="G428" s="53"/>
    </row>
    <row r="429">
      <c r="F429" s="88"/>
      <c r="G429" s="53"/>
    </row>
    <row r="430">
      <c r="F430" s="88"/>
      <c r="G430" s="53"/>
    </row>
    <row r="431">
      <c r="F431" s="88"/>
      <c r="G431" s="53"/>
    </row>
    <row r="432">
      <c r="F432" s="88"/>
      <c r="G432" s="53"/>
    </row>
    <row r="433">
      <c r="F433" s="88"/>
      <c r="G433" s="53"/>
    </row>
    <row r="434">
      <c r="F434" s="88"/>
      <c r="G434" s="53"/>
    </row>
    <row r="435">
      <c r="F435" s="88"/>
      <c r="G435" s="53"/>
    </row>
    <row r="436">
      <c r="F436" s="88"/>
      <c r="G436" s="53"/>
    </row>
    <row r="437">
      <c r="F437" s="88"/>
      <c r="G437" s="53"/>
    </row>
    <row r="438">
      <c r="F438" s="88"/>
      <c r="G438" s="53"/>
    </row>
    <row r="439">
      <c r="F439" s="88"/>
      <c r="G439" s="53"/>
    </row>
    <row r="440">
      <c r="F440" s="88"/>
      <c r="G440" s="53"/>
    </row>
    <row r="441">
      <c r="F441" s="88"/>
      <c r="G441" s="53"/>
    </row>
    <row r="442">
      <c r="F442" s="88"/>
      <c r="G442" s="53"/>
    </row>
    <row r="443">
      <c r="F443" s="88"/>
      <c r="G443" s="53"/>
    </row>
    <row r="444">
      <c r="F444" s="88"/>
      <c r="G444" s="53"/>
    </row>
    <row r="445">
      <c r="F445" s="88"/>
      <c r="G445" s="53"/>
    </row>
    <row r="446">
      <c r="F446" s="88"/>
      <c r="G446" s="53"/>
    </row>
    <row r="447">
      <c r="F447" s="88"/>
      <c r="G447" s="53"/>
    </row>
    <row r="448">
      <c r="F448" s="88"/>
      <c r="G448" s="53"/>
    </row>
    <row r="449">
      <c r="F449" s="88"/>
      <c r="G449" s="53"/>
    </row>
    <row r="450">
      <c r="F450" s="88"/>
      <c r="G450" s="53"/>
    </row>
    <row r="451">
      <c r="F451" s="88"/>
      <c r="G451" s="53"/>
    </row>
    <row r="452">
      <c r="F452" s="88"/>
      <c r="G452" s="53"/>
    </row>
    <row r="453">
      <c r="F453" s="88"/>
      <c r="G453" s="53"/>
    </row>
    <row r="454">
      <c r="F454" s="88"/>
      <c r="G454" s="53"/>
    </row>
    <row r="455">
      <c r="F455" s="88"/>
      <c r="G455" s="53"/>
    </row>
    <row r="456">
      <c r="F456" s="88"/>
      <c r="G456" s="53"/>
    </row>
    <row r="457">
      <c r="F457" s="88"/>
      <c r="G457" s="53"/>
    </row>
    <row r="458">
      <c r="F458" s="88"/>
      <c r="G458" s="53"/>
    </row>
    <row r="459">
      <c r="F459" s="88"/>
      <c r="G459" s="53"/>
    </row>
    <row r="460">
      <c r="F460" s="88"/>
      <c r="G460" s="53"/>
    </row>
    <row r="461">
      <c r="F461" s="88"/>
      <c r="G461" s="53"/>
    </row>
    <row r="462">
      <c r="F462" s="88"/>
      <c r="G462" s="53"/>
    </row>
    <row r="463">
      <c r="F463" s="88"/>
      <c r="G463" s="53"/>
    </row>
    <row r="464">
      <c r="F464" s="88"/>
      <c r="G464" s="53"/>
    </row>
    <row r="465">
      <c r="F465" s="88"/>
      <c r="G465" s="53"/>
    </row>
    <row r="466">
      <c r="F466" s="88"/>
      <c r="G466" s="53"/>
    </row>
    <row r="467">
      <c r="F467" s="88"/>
      <c r="G467" s="53"/>
    </row>
    <row r="468">
      <c r="F468" s="88"/>
      <c r="G468" s="53"/>
    </row>
    <row r="469">
      <c r="F469" s="88"/>
      <c r="G469" s="53"/>
    </row>
    <row r="470">
      <c r="F470" s="88"/>
      <c r="G470" s="53"/>
    </row>
    <row r="471">
      <c r="F471" s="88"/>
      <c r="G471" s="53"/>
    </row>
    <row r="472">
      <c r="F472" s="88"/>
      <c r="G472" s="53"/>
    </row>
    <row r="473">
      <c r="F473" s="88"/>
      <c r="G473" s="53"/>
    </row>
    <row r="474">
      <c r="F474" s="88"/>
      <c r="G474" s="53"/>
    </row>
    <row r="475">
      <c r="F475" s="88"/>
      <c r="G475" s="53"/>
    </row>
    <row r="476">
      <c r="F476" s="88"/>
      <c r="G476" s="53"/>
    </row>
    <row r="477">
      <c r="F477" s="88"/>
      <c r="G477" s="53"/>
    </row>
    <row r="478">
      <c r="F478" s="88"/>
      <c r="G478" s="53"/>
    </row>
    <row r="479">
      <c r="F479" s="88"/>
      <c r="G479" s="53"/>
    </row>
    <row r="480">
      <c r="F480" s="88"/>
      <c r="G480" s="53"/>
    </row>
    <row r="481">
      <c r="F481" s="88"/>
      <c r="G481" s="53"/>
    </row>
    <row r="482">
      <c r="F482" s="88"/>
      <c r="G482" s="53"/>
    </row>
    <row r="483">
      <c r="F483" s="88"/>
      <c r="G483" s="53"/>
    </row>
    <row r="484">
      <c r="F484" s="88"/>
      <c r="G484" s="53"/>
    </row>
    <row r="485">
      <c r="F485" s="88"/>
      <c r="G485" s="53"/>
    </row>
    <row r="486">
      <c r="F486" s="88"/>
      <c r="G486" s="53"/>
    </row>
    <row r="487">
      <c r="F487" s="88"/>
      <c r="G487" s="53"/>
    </row>
    <row r="488">
      <c r="F488" s="88"/>
      <c r="G488" s="53"/>
    </row>
    <row r="489">
      <c r="F489" s="88"/>
      <c r="G489" s="53"/>
    </row>
    <row r="490">
      <c r="F490" s="88"/>
      <c r="G490" s="53"/>
    </row>
    <row r="491">
      <c r="F491" s="88"/>
      <c r="G491" s="53"/>
    </row>
    <row r="492">
      <c r="F492" s="88"/>
      <c r="G492" s="53"/>
    </row>
    <row r="493">
      <c r="F493" s="88"/>
      <c r="G493" s="53"/>
    </row>
    <row r="494">
      <c r="F494" s="88"/>
      <c r="G494" s="53"/>
    </row>
    <row r="495">
      <c r="F495" s="88"/>
      <c r="G495" s="53"/>
    </row>
    <row r="496">
      <c r="F496" s="88"/>
      <c r="G496" s="53"/>
    </row>
    <row r="497">
      <c r="F497" s="88"/>
      <c r="G497" s="53"/>
    </row>
    <row r="498">
      <c r="F498" s="88"/>
      <c r="G498" s="53"/>
    </row>
    <row r="499">
      <c r="F499" s="88"/>
      <c r="G499" s="53"/>
    </row>
    <row r="500">
      <c r="F500" s="88"/>
      <c r="G500" s="53"/>
    </row>
    <row r="501">
      <c r="F501" s="88"/>
      <c r="G501" s="53"/>
    </row>
    <row r="502">
      <c r="F502" s="88"/>
      <c r="G502" s="53"/>
    </row>
    <row r="503">
      <c r="F503" s="88"/>
      <c r="G503" s="53"/>
    </row>
    <row r="504">
      <c r="F504" s="88"/>
      <c r="G504" s="53"/>
    </row>
    <row r="505">
      <c r="F505" s="88"/>
      <c r="G505" s="53"/>
    </row>
    <row r="506">
      <c r="F506" s="88"/>
      <c r="G506" s="53"/>
    </row>
    <row r="507">
      <c r="F507" s="88"/>
      <c r="G507" s="53"/>
    </row>
    <row r="508">
      <c r="F508" s="88"/>
      <c r="G508" s="53"/>
    </row>
    <row r="509">
      <c r="F509" s="88"/>
      <c r="G509" s="53"/>
    </row>
    <row r="510">
      <c r="F510" s="88"/>
      <c r="G510" s="53"/>
    </row>
    <row r="511">
      <c r="F511" s="88"/>
      <c r="G511" s="53"/>
    </row>
    <row r="512">
      <c r="F512" s="88"/>
      <c r="G512" s="53"/>
    </row>
    <row r="513">
      <c r="F513" s="88"/>
      <c r="G513" s="53"/>
    </row>
    <row r="514">
      <c r="F514" s="88"/>
      <c r="G514" s="53"/>
    </row>
    <row r="515">
      <c r="F515" s="88"/>
      <c r="G515" s="53"/>
    </row>
    <row r="516">
      <c r="F516" s="88"/>
      <c r="G516" s="53"/>
    </row>
    <row r="517">
      <c r="F517" s="88"/>
      <c r="G517" s="53"/>
    </row>
    <row r="518">
      <c r="F518" s="88"/>
      <c r="G518" s="53"/>
    </row>
    <row r="519">
      <c r="F519" s="88"/>
      <c r="G519" s="53"/>
    </row>
    <row r="520">
      <c r="F520" s="88"/>
      <c r="G520" s="53"/>
    </row>
    <row r="521">
      <c r="F521" s="88"/>
      <c r="G521" s="53"/>
    </row>
    <row r="522">
      <c r="F522" s="88"/>
      <c r="G522" s="53"/>
    </row>
    <row r="523">
      <c r="F523" s="88"/>
      <c r="G523" s="53"/>
    </row>
    <row r="524">
      <c r="F524" s="88"/>
      <c r="G524" s="53"/>
    </row>
    <row r="525">
      <c r="F525" s="88"/>
      <c r="G525" s="53"/>
    </row>
    <row r="526">
      <c r="F526" s="88"/>
      <c r="G526" s="53"/>
    </row>
    <row r="527">
      <c r="F527" s="88"/>
      <c r="G527" s="53"/>
    </row>
    <row r="528">
      <c r="F528" s="88"/>
      <c r="G528" s="53"/>
    </row>
    <row r="529">
      <c r="F529" s="88"/>
      <c r="G529" s="53"/>
    </row>
    <row r="530">
      <c r="F530" s="88"/>
      <c r="G530" s="53"/>
    </row>
    <row r="531">
      <c r="F531" s="88"/>
      <c r="G531" s="53"/>
    </row>
    <row r="532">
      <c r="F532" s="88"/>
      <c r="G532" s="53"/>
    </row>
    <row r="533">
      <c r="F533" s="88"/>
      <c r="G533" s="53"/>
    </row>
    <row r="534">
      <c r="F534" s="88"/>
      <c r="G534" s="53"/>
    </row>
    <row r="535">
      <c r="F535" s="88"/>
      <c r="G535" s="53"/>
    </row>
    <row r="536">
      <c r="F536" s="88"/>
      <c r="G536" s="53"/>
    </row>
    <row r="537">
      <c r="F537" s="88"/>
      <c r="G537" s="53"/>
    </row>
    <row r="538">
      <c r="F538" s="88"/>
      <c r="G538" s="53"/>
    </row>
    <row r="539">
      <c r="F539" s="88"/>
      <c r="G539" s="53"/>
    </row>
    <row r="540">
      <c r="F540" s="88"/>
      <c r="G540" s="53"/>
    </row>
    <row r="541">
      <c r="F541" s="88"/>
      <c r="G541" s="53"/>
    </row>
    <row r="542">
      <c r="F542" s="88"/>
      <c r="G542" s="53"/>
    </row>
    <row r="543">
      <c r="F543" s="88"/>
      <c r="G543" s="53"/>
    </row>
    <row r="544">
      <c r="F544" s="88"/>
      <c r="G544" s="53"/>
    </row>
    <row r="545">
      <c r="F545" s="88"/>
      <c r="G545" s="53"/>
    </row>
    <row r="546">
      <c r="F546" s="88"/>
      <c r="G546" s="53"/>
    </row>
    <row r="547">
      <c r="F547" s="88"/>
      <c r="G547" s="53"/>
    </row>
    <row r="548">
      <c r="F548" s="88"/>
      <c r="G548" s="53"/>
    </row>
    <row r="549">
      <c r="F549" s="88"/>
      <c r="G549" s="53"/>
    </row>
    <row r="550">
      <c r="F550" s="88"/>
      <c r="G550" s="53"/>
    </row>
    <row r="551">
      <c r="F551" s="88"/>
      <c r="G551" s="53"/>
    </row>
    <row r="552">
      <c r="F552" s="88"/>
      <c r="G552" s="53"/>
    </row>
    <row r="553">
      <c r="F553" s="88"/>
      <c r="G553" s="53"/>
    </row>
    <row r="554">
      <c r="F554" s="88"/>
      <c r="G554" s="53"/>
    </row>
    <row r="555">
      <c r="F555" s="88"/>
      <c r="G555" s="53"/>
    </row>
    <row r="556">
      <c r="F556" s="88"/>
      <c r="G556" s="53"/>
    </row>
    <row r="557">
      <c r="F557" s="88"/>
      <c r="G557" s="53"/>
    </row>
    <row r="558">
      <c r="F558" s="88"/>
      <c r="G558" s="53"/>
    </row>
    <row r="559">
      <c r="F559" s="88"/>
      <c r="G559" s="53"/>
    </row>
    <row r="560">
      <c r="F560" s="88"/>
      <c r="G560" s="53"/>
    </row>
    <row r="561">
      <c r="F561" s="88"/>
      <c r="G561" s="53"/>
    </row>
    <row r="562">
      <c r="F562" s="88"/>
      <c r="G562" s="53"/>
    </row>
    <row r="563">
      <c r="F563" s="88"/>
      <c r="G563" s="53"/>
    </row>
    <row r="564">
      <c r="F564" s="88"/>
      <c r="G564" s="53"/>
    </row>
    <row r="565">
      <c r="F565" s="88"/>
      <c r="G565" s="53"/>
    </row>
    <row r="566">
      <c r="F566" s="88"/>
      <c r="G566" s="53"/>
    </row>
    <row r="567">
      <c r="F567" s="88"/>
      <c r="G567" s="53"/>
    </row>
    <row r="568">
      <c r="F568" s="88"/>
      <c r="G568" s="53"/>
    </row>
    <row r="569">
      <c r="F569" s="88"/>
      <c r="G569" s="53"/>
    </row>
    <row r="570">
      <c r="F570" s="88"/>
      <c r="G570" s="53"/>
    </row>
    <row r="571">
      <c r="F571" s="88"/>
      <c r="G571" s="53"/>
    </row>
    <row r="572">
      <c r="F572" s="88"/>
      <c r="G572" s="53"/>
    </row>
    <row r="573">
      <c r="F573" s="88"/>
      <c r="G573" s="53"/>
    </row>
    <row r="574">
      <c r="F574" s="88"/>
      <c r="G574" s="53"/>
    </row>
    <row r="575">
      <c r="F575" s="88"/>
      <c r="G575" s="53"/>
    </row>
    <row r="576">
      <c r="F576" s="88"/>
      <c r="G576" s="53"/>
    </row>
    <row r="577">
      <c r="F577" s="88"/>
      <c r="G577" s="53"/>
    </row>
    <row r="578">
      <c r="F578" s="88"/>
      <c r="G578" s="53"/>
    </row>
    <row r="579">
      <c r="F579" s="88"/>
      <c r="G579" s="53"/>
    </row>
    <row r="580">
      <c r="F580" s="88"/>
      <c r="G580" s="53"/>
    </row>
    <row r="581">
      <c r="F581" s="88"/>
      <c r="G581" s="53"/>
    </row>
    <row r="582">
      <c r="F582" s="88"/>
      <c r="G582" s="53"/>
    </row>
    <row r="583">
      <c r="F583" s="88"/>
      <c r="G583" s="53"/>
    </row>
    <row r="584">
      <c r="F584" s="88"/>
      <c r="G584" s="53"/>
    </row>
    <row r="585">
      <c r="F585" s="88"/>
      <c r="G585" s="53"/>
    </row>
    <row r="586">
      <c r="F586" s="88"/>
      <c r="G586" s="53"/>
    </row>
    <row r="587">
      <c r="F587" s="88"/>
      <c r="G587" s="53"/>
    </row>
    <row r="588">
      <c r="F588" s="88"/>
      <c r="G588" s="53"/>
    </row>
    <row r="589">
      <c r="F589" s="88"/>
      <c r="G589" s="53"/>
    </row>
    <row r="590">
      <c r="F590" s="88"/>
      <c r="G590" s="53"/>
    </row>
    <row r="591">
      <c r="F591" s="88"/>
      <c r="G591" s="53"/>
    </row>
    <row r="592">
      <c r="F592" s="88"/>
      <c r="G592" s="53"/>
    </row>
    <row r="593">
      <c r="F593" s="88"/>
      <c r="G593" s="53"/>
    </row>
    <row r="594">
      <c r="F594" s="88"/>
      <c r="G594" s="53"/>
    </row>
    <row r="595">
      <c r="F595" s="88"/>
      <c r="G595" s="53"/>
    </row>
    <row r="596">
      <c r="F596" s="88"/>
      <c r="G596" s="53"/>
    </row>
    <row r="597">
      <c r="F597" s="88"/>
      <c r="G597" s="53"/>
    </row>
    <row r="598">
      <c r="F598" s="88"/>
      <c r="G598" s="53"/>
    </row>
    <row r="599">
      <c r="F599" s="88"/>
      <c r="G599" s="53"/>
    </row>
    <row r="600">
      <c r="F600" s="88"/>
      <c r="G600" s="53"/>
    </row>
    <row r="601">
      <c r="F601" s="88"/>
      <c r="G601" s="53"/>
    </row>
    <row r="602">
      <c r="F602" s="88"/>
      <c r="G602" s="53"/>
    </row>
    <row r="603">
      <c r="F603" s="88"/>
      <c r="G603" s="53"/>
    </row>
    <row r="604">
      <c r="F604" s="88"/>
      <c r="G604" s="53"/>
    </row>
    <row r="605">
      <c r="F605" s="88"/>
      <c r="G605" s="53"/>
    </row>
    <row r="606">
      <c r="F606" s="88"/>
      <c r="G606" s="53"/>
    </row>
    <row r="607">
      <c r="F607" s="88"/>
      <c r="G607" s="53"/>
    </row>
    <row r="608">
      <c r="F608" s="88"/>
      <c r="G608" s="53"/>
    </row>
    <row r="609">
      <c r="F609" s="88"/>
      <c r="G609" s="53"/>
    </row>
    <row r="610">
      <c r="F610" s="88"/>
      <c r="G610" s="53"/>
    </row>
    <row r="611">
      <c r="F611" s="88"/>
      <c r="G611" s="53"/>
    </row>
    <row r="612">
      <c r="F612" s="88"/>
      <c r="G612" s="53"/>
    </row>
    <row r="613">
      <c r="F613" s="88"/>
      <c r="G613" s="53"/>
    </row>
    <row r="614">
      <c r="F614" s="88"/>
      <c r="G614" s="53"/>
    </row>
    <row r="615">
      <c r="F615" s="88"/>
      <c r="G615" s="53"/>
    </row>
    <row r="616">
      <c r="F616" s="88"/>
      <c r="G616" s="53"/>
    </row>
    <row r="617">
      <c r="F617" s="88"/>
      <c r="G617" s="53"/>
    </row>
    <row r="618">
      <c r="F618" s="88"/>
      <c r="G618" s="53"/>
    </row>
    <row r="619">
      <c r="F619" s="88"/>
      <c r="G619" s="53"/>
    </row>
    <row r="620">
      <c r="F620" s="88"/>
      <c r="G620" s="53"/>
    </row>
    <row r="621">
      <c r="F621" s="88"/>
      <c r="G621" s="53"/>
    </row>
    <row r="622">
      <c r="F622" s="88"/>
      <c r="G622" s="53"/>
    </row>
    <row r="623">
      <c r="F623" s="88"/>
      <c r="G623" s="53"/>
    </row>
    <row r="624">
      <c r="F624" s="88"/>
      <c r="G624" s="53"/>
    </row>
    <row r="625">
      <c r="F625" s="88"/>
      <c r="G625" s="53"/>
    </row>
    <row r="626">
      <c r="F626" s="88"/>
      <c r="G626" s="53"/>
    </row>
    <row r="627">
      <c r="F627" s="88"/>
      <c r="G627" s="53"/>
    </row>
    <row r="628">
      <c r="F628" s="88"/>
      <c r="G628" s="53"/>
    </row>
    <row r="629">
      <c r="F629" s="88"/>
      <c r="G629" s="53"/>
    </row>
    <row r="630">
      <c r="F630" s="88"/>
      <c r="G630" s="53"/>
    </row>
    <row r="631">
      <c r="F631" s="88"/>
      <c r="G631" s="53"/>
    </row>
    <row r="632">
      <c r="F632" s="88"/>
      <c r="G632" s="53"/>
    </row>
    <row r="633">
      <c r="F633" s="88"/>
      <c r="G633" s="53"/>
    </row>
    <row r="634">
      <c r="F634" s="88"/>
      <c r="G634" s="53"/>
    </row>
    <row r="635">
      <c r="F635" s="88"/>
      <c r="G635" s="53"/>
    </row>
    <row r="636">
      <c r="F636" s="88"/>
      <c r="G636" s="53"/>
    </row>
    <row r="637">
      <c r="F637" s="88"/>
      <c r="G637" s="53"/>
    </row>
    <row r="638">
      <c r="F638" s="88"/>
      <c r="G638" s="53"/>
    </row>
    <row r="639">
      <c r="F639" s="88"/>
      <c r="G639" s="53"/>
    </row>
    <row r="640">
      <c r="F640" s="88"/>
      <c r="G640" s="53"/>
    </row>
    <row r="641">
      <c r="F641" s="88"/>
      <c r="G641" s="53"/>
    </row>
    <row r="642">
      <c r="F642" s="88"/>
      <c r="G642" s="53"/>
    </row>
    <row r="643">
      <c r="F643" s="88"/>
      <c r="G643" s="53"/>
    </row>
    <row r="644">
      <c r="F644" s="88"/>
      <c r="G644" s="53"/>
    </row>
    <row r="645">
      <c r="F645" s="88"/>
      <c r="G645" s="53"/>
    </row>
    <row r="646">
      <c r="F646" s="88"/>
      <c r="G646" s="53"/>
    </row>
    <row r="647">
      <c r="F647" s="88"/>
      <c r="G647" s="53"/>
    </row>
    <row r="648">
      <c r="F648" s="88"/>
      <c r="G648" s="53"/>
    </row>
    <row r="649">
      <c r="F649" s="88"/>
      <c r="G649" s="53"/>
    </row>
    <row r="650">
      <c r="F650" s="88"/>
      <c r="G650" s="53"/>
    </row>
    <row r="651">
      <c r="F651" s="88"/>
      <c r="G651" s="53"/>
    </row>
    <row r="652">
      <c r="F652" s="88"/>
      <c r="G652" s="53"/>
    </row>
    <row r="653">
      <c r="F653" s="88"/>
      <c r="G653" s="53"/>
    </row>
    <row r="654">
      <c r="F654" s="88"/>
      <c r="G654" s="53"/>
    </row>
    <row r="655">
      <c r="F655" s="88"/>
      <c r="G655" s="53"/>
    </row>
    <row r="656">
      <c r="F656" s="88"/>
      <c r="G656" s="53"/>
    </row>
    <row r="657">
      <c r="F657" s="88"/>
      <c r="G657" s="53"/>
    </row>
    <row r="658">
      <c r="F658" s="88"/>
      <c r="G658" s="53"/>
    </row>
    <row r="659">
      <c r="F659" s="88"/>
      <c r="G659" s="53"/>
    </row>
    <row r="660">
      <c r="F660" s="88"/>
      <c r="G660" s="53"/>
    </row>
    <row r="661">
      <c r="F661" s="88"/>
      <c r="G661" s="53"/>
    </row>
    <row r="662">
      <c r="F662" s="88"/>
      <c r="G662" s="53"/>
    </row>
    <row r="663">
      <c r="F663" s="88"/>
      <c r="G663" s="53"/>
    </row>
    <row r="664">
      <c r="F664" s="88"/>
      <c r="G664" s="53"/>
    </row>
    <row r="665">
      <c r="F665" s="88"/>
      <c r="G665" s="53"/>
    </row>
    <row r="666">
      <c r="F666" s="88"/>
      <c r="G666" s="53"/>
    </row>
    <row r="667">
      <c r="F667" s="88"/>
      <c r="G667" s="53"/>
    </row>
    <row r="668">
      <c r="F668" s="88"/>
      <c r="G668" s="53"/>
    </row>
    <row r="669">
      <c r="F669" s="88"/>
      <c r="G669" s="53"/>
    </row>
    <row r="670">
      <c r="F670" s="88"/>
      <c r="G670" s="53"/>
    </row>
    <row r="671">
      <c r="F671" s="88"/>
      <c r="G671" s="53"/>
    </row>
    <row r="672">
      <c r="F672" s="88"/>
      <c r="G672" s="53"/>
    </row>
    <row r="673">
      <c r="F673" s="88"/>
      <c r="G673" s="53"/>
    </row>
    <row r="674">
      <c r="F674" s="88"/>
      <c r="G674" s="53"/>
    </row>
    <row r="675">
      <c r="F675" s="88"/>
      <c r="G675" s="53"/>
    </row>
    <row r="676">
      <c r="F676" s="88"/>
      <c r="G676" s="53"/>
    </row>
    <row r="677">
      <c r="F677" s="88"/>
      <c r="G677" s="53"/>
    </row>
    <row r="678">
      <c r="F678" s="88"/>
      <c r="G678" s="53"/>
    </row>
    <row r="679">
      <c r="F679" s="88"/>
      <c r="G679" s="53"/>
    </row>
    <row r="680">
      <c r="F680" s="88"/>
      <c r="G680" s="53"/>
    </row>
    <row r="681">
      <c r="F681" s="88"/>
      <c r="G681" s="53"/>
    </row>
    <row r="682">
      <c r="F682" s="88"/>
      <c r="G682" s="53"/>
    </row>
    <row r="683">
      <c r="F683" s="88"/>
      <c r="G683" s="53"/>
    </row>
    <row r="684">
      <c r="F684" s="88"/>
      <c r="G684" s="53"/>
    </row>
    <row r="685">
      <c r="F685" s="88"/>
      <c r="G685" s="53"/>
    </row>
    <row r="686">
      <c r="F686" s="88"/>
      <c r="G686" s="53"/>
    </row>
    <row r="687">
      <c r="F687" s="88"/>
      <c r="G687" s="53"/>
    </row>
    <row r="688">
      <c r="F688" s="88"/>
      <c r="G688" s="53"/>
    </row>
    <row r="689">
      <c r="F689" s="88"/>
      <c r="G689" s="53"/>
    </row>
    <row r="690">
      <c r="F690" s="88"/>
      <c r="G690" s="53"/>
    </row>
    <row r="691">
      <c r="F691" s="88"/>
      <c r="G691" s="53"/>
    </row>
    <row r="692">
      <c r="F692" s="88"/>
      <c r="G692" s="53"/>
    </row>
    <row r="693">
      <c r="F693" s="88"/>
      <c r="G693" s="53"/>
    </row>
    <row r="694">
      <c r="F694" s="88"/>
      <c r="G694" s="53"/>
    </row>
    <row r="695">
      <c r="F695" s="88"/>
      <c r="G695" s="53"/>
    </row>
    <row r="696">
      <c r="F696" s="88"/>
      <c r="G696" s="53"/>
    </row>
    <row r="697">
      <c r="F697" s="88"/>
      <c r="G697" s="53"/>
    </row>
    <row r="698">
      <c r="F698" s="88"/>
      <c r="G698" s="53"/>
    </row>
    <row r="699">
      <c r="F699" s="88"/>
      <c r="G699" s="53"/>
    </row>
    <row r="700">
      <c r="F700" s="88"/>
      <c r="G700" s="53"/>
    </row>
    <row r="701">
      <c r="F701" s="88"/>
      <c r="G701" s="53"/>
    </row>
    <row r="702">
      <c r="F702" s="88"/>
      <c r="G702" s="53"/>
    </row>
    <row r="703">
      <c r="F703" s="88"/>
      <c r="G703" s="53"/>
    </row>
    <row r="704">
      <c r="F704" s="88"/>
      <c r="G704" s="53"/>
    </row>
    <row r="705">
      <c r="F705" s="88"/>
      <c r="G705" s="53"/>
    </row>
    <row r="706">
      <c r="F706" s="88"/>
      <c r="G706" s="53"/>
    </row>
    <row r="707">
      <c r="F707" s="88"/>
      <c r="G707" s="53"/>
    </row>
    <row r="708">
      <c r="F708" s="88"/>
      <c r="G708" s="53"/>
    </row>
    <row r="709">
      <c r="F709" s="88"/>
      <c r="G709" s="53"/>
    </row>
    <row r="710">
      <c r="F710" s="88"/>
      <c r="G710" s="53"/>
    </row>
    <row r="711">
      <c r="F711" s="88"/>
      <c r="G711" s="53"/>
    </row>
    <row r="712">
      <c r="F712" s="88"/>
      <c r="G712" s="53"/>
    </row>
    <row r="713">
      <c r="F713" s="88"/>
      <c r="G713" s="53"/>
    </row>
    <row r="714">
      <c r="F714" s="88"/>
      <c r="G714" s="53"/>
    </row>
    <row r="715">
      <c r="F715" s="88"/>
      <c r="G715" s="53"/>
    </row>
    <row r="716">
      <c r="F716" s="88"/>
      <c r="G716" s="53"/>
    </row>
    <row r="717">
      <c r="F717" s="88"/>
      <c r="G717" s="53"/>
    </row>
    <row r="718">
      <c r="F718" s="88"/>
      <c r="G718" s="53"/>
    </row>
    <row r="719">
      <c r="F719" s="88"/>
      <c r="G719" s="53"/>
    </row>
    <row r="720">
      <c r="F720" s="88"/>
      <c r="G720" s="53"/>
    </row>
    <row r="721">
      <c r="F721" s="88"/>
      <c r="G721" s="53"/>
    </row>
    <row r="722">
      <c r="F722" s="88"/>
      <c r="G722" s="53"/>
    </row>
    <row r="723">
      <c r="F723" s="88"/>
      <c r="G723" s="53"/>
    </row>
    <row r="724">
      <c r="F724" s="88"/>
      <c r="G724" s="53"/>
    </row>
    <row r="725">
      <c r="F725" s="88"/>
      <c r="G725" s="53"/>
    </row>
    <row r="726">
      <c r="F726" s="88"/>
      <c r="G726" s="53"/>
    </row>
    <row r="727">
      <c r="F727" s="88"/>
      <c r="G727" s="53"/>
    </row>
    <row r="728">
      <c r="F728" s="88"/>
      <c r="G728" s="53"/>
    </row>
    <row r="729">
      <c r="F729" s="88"/>
      <c r="G729" s="53"/>
    </row>
    <row r="730">
      <c r="F730" s="88"/>
      <c r="G730" s="53"/>
    </row>
    <row r="731">
      <c r="F731" s="88"/>
      <c r="G731" s="53"/>
    </row>
    <row r="732">
      <c r="F732" s="88"/>
      <c r="G732" s="53"/>
    </row>
    <row r="733">
      <c r="F733" s="88"/>
      <c r="G733" s="53"/>
    </row>
    <row r="734">
      <c r="F734" s="88"/>
      <c r="G734" s="53"/>
    </row>
    <row r="735">
      <c r="F735" s="88"/>
      <c r="G735" s="53"/>
    </row>
    <row r="736">
      <c r="F736" s="88"/>
      <c r="G736" s="53"/>
    </row>
    <row r="737">
      <c r="F737" s="88"/>
      <c r="G737" s="53"/>
    </row>
    <row r="738">
      <c r="F738" s="88"/>
      <c r="G738" s="53"/>
    </row>
    <row r="739">
      <c r="F739" s="88"/>
      <c r="G739" s="53"/>
    </row>
    <row r="740">
      <c r="F740" s="88"/>
      <c r="G740" s="53"/>
    </row>
    <row r="741">
      <c r="F741" s="88"/>
      <c r="G741" s="53"/>
    </row>
    <row r="742">
      <c r="F742" s="88"/>
      <c r="G742" s="53"/>
    </row>
    <row r="743">
      <c r="F743" s="88"/>
      <c r="G743" s="53"/>
    </row>
    <row r="744">
      <c r="F744" s="88"/>
      <c r="G744" s="53"/>
    </row>
    <row r="745">
      <c r="F745" s="88"/>
      <c r="G745" s="53"/>
    </row>
    <row r="746">
      <c r="F746" s="88"/>
      <c r="G746" s="53"/>
    </row>
    <row r="747">
      <c r="F747" s="88"/>
      <c r="G747" s="53"/>
    </row>
    <row r="748">
      <c r="F748" s="88"/>
      <c r="G748" s="53"/>
    </row>
    <row r="749">
      <c r="F749" s="88"/>
      <c r="G749" s="53"/>
    </row>
    <row r="750">
      <c r="F750" s="88"/>
      <c r="G750" s="53"/>
    </row>
    <row r="751">
      <c r="F751" s="88"/>
      <c r="G751" s="53"/>
    </row>
    <row r="752">
      <c r="F752" s="88"/>
      <c r="G752" s="53"/>
    </row>
    <row r="753">
      <c r="F753" s="88"/>
      <c r="G753" s="53"/>
    </row>
    <row r="754">
      <c r="F754" s="88"/>
      <c r="G754" s="53"/>
    </row>
    <row r="755">
      <c r="F755" s="88"/>
      <c r="G755" s="53"/>
    </row>
    <row r="756">
      <c r="F756" s="88"/>
      <c r="G756" s="53"/>
    </row>
    <row r="757">
      <c r="F757" s="88"/>
      <c r="G757" s="53"/>
    </row>
    <row r="758">
      <c r="F758" s="88"/>
      <c r="G758" s="53"/>
    </row>
    <row r="759">
      <c r="F759" s="88"/>
      <c r="G759" s="53"/>
    </row>
    <row r="760">
      <c r="F760" s="88"/>
      <c r="G760" s="53"/>
    </row>
    <row r="761">
      <c r="F761" s="88"/>
      <c r="G761" s="53"/>
    </row>
    <row r="762">
      <c r="F762" s="88"/>
      <c r="G762" s="53"/>
    </row>
    <row r="763">
      <c r="F763" s="88"/>
      <c r="G763" s="53"/>
    </row>
    <row r="764">
      <c r="F764" s="88"/>
      <c r="G764" s="53"/>
    </row>
    <row r="765">
      <c r="F765" s="88"/>
      <c r="G765" s="53"/>
    </row>
    <row r="766">
      <c r="F766" s="88"/>
      <c r="G766" s="53"/>
    </row>
    <row r="767">
      <c r="F767" s="88"/>
      <c r="G767" s="53"/>
    </row>
    <row r="768">
      <c r="F768" s="88"/>
      <c r="G768" s="53"/>
    </row>
    <row r="769">
      <c r="F769" s="88"/>
      <c r="G769" s="53"/>
    </row>
    <row r="770">
      <c r="F770" s="88"/>
      <c r="G770" s="53"/>
    </row>
    <row r="771">
      <c r="F771" s="88"/>
      <c r="G771" s="53"/>
    </row>
    <row r="772">
      <c r="F772" s="88"/>
      <c r="G772" s="53"/>
    </row>
    <row r="773">
      <c r="F773" s="88"/>
      <c r="G773" s="53"/>
    </row>
    <row r="774">
      <c r="F774" s="88"/>
      <c r="G774" s="53"/>
    </row>
    <row r="775">
      <c r="F775" s="88"/>
      <c r="G775" s="53"/>
    </row>
    <row r="776">
      <c r="F776" s="88"/>
      <c r="G776" s="53"/>
    </row>
    <row r="777">
      <c r="F777" s="88"/>
      <c r="G777" s="53"/>
    </row>
    <row r="778">
      <c r="F778" s="88"/>
      <c r="G778" s="53"/>
    </row>
    <row r="779">
      <c r="F779" s="88"/>
      <c r="G779" s="53"/>
    </row>
    <row r="780">
      <c r="F780" s="88"/>
      <c r="G780" s="53"/>
    </row>
    <row r="781">
      <c r="F781" s="88"/>
      <c r="G781" s="53"/>
    </row>
    <row r="782">
      <c r="F782" s="88"/>
      <c r="G782" s="53"/>
    </row>
    <row r="783">
      <c r="F783" s="88"/>
      <c r="G783" s="53"/>
    </row>
    <row r="784">
      <c r="F784" s="88"/>
      <c r="G784" s="53"/>
    </row>
    <row r="785">
      <c r="F785" s="88"/>
      <c r="G785" s="53"/>
    </row>
    <row r="786">
      <c r="F786" s="88"/>
      <c r="G786" s="53"/>
    </row>
    <row r="787">
      <c r="F787" s="88"/>
      <c r="G787" s="53"/>
    </row>
    <row r="788">
      <c r="F788" s="88"/>
      <c r="G788" s="53"/>
    </row>
    <row r="789">
      <c r="F789" s="88"/>
      <c r="G789" s="53"/>
    </row>
    <row r="790">
      <c r="F790" s="88"/>
      <c r="G790" s="53"/>
    </row>
    <row r="791">
      <c r="F791" s="88"/>
      <c r="G791" s="53"/>
    </row>
    <row r="792">
      <c r="F792" s="88"/>
      <c r="G792" s="53"/>
    </row>
    <row r="793">
      <c r="F793" s="88"/>
      <c r="G793" s="53"/>
    </row>
    <row r="794">
      <c r="F794" s="88"/>
      <c r="G794" s="53"/>
    </row>
    <row r="795">
      <c r="F795" s="88"/>
      <c r="G795" s="53"/>
    </row>
    <row r="796">
      <c r="F796" s="88"/>
      <c r="G796" s="53"/>
    </row>
    <row r="797">
      <c r="F797" s="88"/>
      <c r="G797" s="53"/>
    </row>
    <row r="798">
      <c r="F798" s="88"/>
      <c r="G798" s="53"/>
    </row>
    <row r="799">
      <c r="F799" s="88"/>
      <c r="G799" s="53"/>
    </row>
    <row r="800">
      <c r="F800" s="88"/>
      <c r="G800" s="53"/>
    </row>
    <row r="801">
      <c r="F801" s="88"/>
      <c r="G801" s="53"/>
    </row>
    <row r="802">
      <c r="F802" s="88"/>
      <c r="G802" s="53"/>
    </row>
    <row r="803">
      <c r="F803" s="88"/>
      <c r="G803" s="53"/>
    </row>
    <row r="804">
      <c r="F804" s="88"/>
      <c r="G804" s="53"/>
    </row>
    <row r="805">
      <c r="F805" s="88"/>
      <c r="G805" s="53"/>
    </row>
    <row r="806">
      <c r="F806" s="88"/>
      <c r="G806" s="53"/>
    </row>
    <row r="807">
      <c r="F807" s="88"/>
      <c r="G807" s="53"/>
    </row>
    <row r="808">
      <c r="F808" s="88"/>
      <c r="G808" s="53"/>
    </row>
    <row r="809">
      <c r="F809" s="88"/>
      <c r="G809" s="53"/>
    </row>
    <row r="810">
      <c r="F810" s="88"/>
      <c r="G810" s="53"/>
    </row>
    <row r="811">
      <c r="F811" s="88"/>
      <c r="G811" s="53"/>
    </row>
    <row r="812">
      <c r="F812" s="88"/>
      <c r="G812" s="53"/>
    </row>
    <row r="813">
      <c r="F813" s="88"/>
      <c r="G813" s="53"/>
    </row>
    <row r="814">
      <c r="F814" s="88"/>
      <c r="G814" s="53"/>
    </row>
    <row r="815">
      <c r="F815" s="88"/>
      <c r="G815" s="53"/>
    </row>
    <row r="816">
      <c r="F816" s="88"/>
      <c r="G816" s="53"/>
    </row>
    <row r="817">
      <c r="F817" s="88"/>
      <c r="G817" s="53"/>
    </row>
    <row r="818">
      <c r="F818" s="88"/>
      <c r="G818" s="53"/>
    </row>
    <row r="819">
      <c r="F819" s="88"/>
      <c r="G819" s="53"/>
    </row>
    <row r="820">
      <c r="F820" s="88"/>
      <c r="G820" s="53"/>
    </row>
    <row r="821">
      <c r="F821" s="88"/>
      <c r="G821" s="53"/>
    </row>
    <row r="822">
      <c r="F822" s="88"/>
      <c r="G822" s="53"/>
    </row>
    <row r="823">
      <c r="F823" s="88"/>
      <c r="G823" s="53"/>
    </row>
    <row r="824">
      <c r="F824" s="88"/>
      <c r="G824" s="53"/>
    </row>
    <row r="825">
      <c r="F825" s="88"/>
      <c r="G825" s="53"/>
    </row>
    <row r="826">
      <c r="F826" s="88"/>
      <c r="G826" s="53"/>
    </row>
    <row r="827">
      <c r="F827" s="88"/>
      <c r="G827" s="53"/>
    </row>
    <row r="828">
      <c r="F828" s="88"/>
      <c r="G828" s="53"/>
    </row>
    <row r="829">
      <c r="F829" s="88"/>
      <c r="G829" s="53"/>
    </row>
    <row r="830">
      <c r="F830" s="88"/>
      <c r="G830" s="53"/>
    </row>
    <row r="831">
      <c r="F831" s="88"/>
      <c r="G831" s="53"/>
    </row>
    <row r="832">
      <c r="F832" s="88"/>
      <c r="G832" s="53"/>
    </row>
    <row r="833">
      <c r="F833" s="88"/>
      <c r="G833" s="53"/>
    </row>
    <row r="834">
      <c r="F834" s="88"/>
      <c r="G834" s="53"/>
    </row>
    <row r="835">
      <c r="F835" s="88"/>
      <c r="G835" s="53"/>
    </row>
    <row r="836">
      <c r="F836" s="88"/>
      <c r="G836" s="53"/>
    </row>
    <row r="837">
      <c r="F837" s="88"/>
      <c r="G837" s="53"/>
    </row>
    <row r="838">
      <c r="F838" s="88"/>
      <c r="G838" s="53"/>
    </row>
    <row r="839">
      <c r="F839" s="88"/>
      <c r="G839" s="53"/>
    </row>
    <row r="840">
      <c r="F840" s="88"/>
      <c r="G840" s="53"/>
    </row>
    <row r="841">
      <c r="F841" s="88"/>
      <c r="G841" s="53"/>
    </row>
    <row r="842">
      <c r="F842" s="88"/>
      <c r="G842" s="53"/>
    </row>
    <row r="843">
      <c r="F843" s="88"/>
      <c r="G843" s="53"/>
    </row>
    <row r="844">
      <c r="F844" s="88"/>
      <c r="G844" s="53"/>
    </row>
    <row r="845">
      <c r="F845" s="88"/>
      <c r="G845" s="53"/>
    </row>
    <row r="846">
      <c r="F846" s="88"/>
      <c r="G846" s="53"/>
    </row>
    <row r="847">
      <c r="F847" s="88"/>
      <c r="G847" s="53"/>
    </row>
    <row r="848">
      <c r="F848" s="88"/>
      <c r="G848" s="53"/>
    </row>
    <row r="849">
      <c r="F849" s="88"/>
      <c r="G849" s="53"/>
    </row>
    <row r="850">
      <c r="F850" s="88"/>
      <c r="G850" s="53"/>
    </row>
    <row r="851">
      <c r="F851" s="88"/>
      <c r="G851" s="53"/>
    </row>
    <row r="852">
      <c r="F852" s="88"/>
      <c r="G852" s="53"/>
    </row>
    <row r="853">
      <c r="F853" s="88"/>
      <c r="G853" s="53"/>
    </row>
    <row r="854">
      <c r="F854" s="88"/>
      <c r="G854" s="53"/>
    </row>
    <row r="855">
      <c r="F855" s="88"/>
      <c r="G855" s="53"/>
    </row>
    <row r="856">
      <c r="F856" s="88"/>
      <c r="G856" s="53"/>
    </row>
    <row r="857">
      <c r="F857" s="88"/>
      <c r="G857" s="53"/>
    </row>
    <row r="858">
      <c r="F858" s="88"/>
      <c r="G858" s="53"/>
    </row>
    <row r="859">
      <c r="F859" s="88"/>
      <c r="G859" s="53"/>
    </row>
    <row r="860">
      <c r="F860" s="88"/>
      <c r="G860" s="53"/>
    </row>
    <row r="861">
      <c r="F861" s="88"/>
      <c r="G861" s="53"/>
    </row>
    <row r="862">
      <c r="F862" s="88"/>
      <c r="G862" s="53"/>
    </row>
    <row r="863">
      <c r="F863" s="88"/>
      <c r="G863" s="53"/>
    </row>
    <row r="864">
      <c r="F864" s="88"/>
      <c r="G864" s="53"/>
    </row>
    <row r="865">
      <c r="F865" s="88"/>
      <c r="G865" s="53"/>
    </row>
    <row r="866">
      <c r="F866" s="88"/>
      <c r="G866" s="53"/>
    </row>
    <row r="867">
      <c r="F867" s="88"/>
      <c r="G867" s="53"/>
    </row>
    <row r="868">
      <c r="F868" s="88"/>
      <c r="G868" s="53"/>
    </row>
    <row r="869">
      <c r="F869" s="88"/>
      <c r="G869" s="53"/>
    </row>
    <row r="870">
      <c r="F870" s="88"/>
      <c r="G870" s="53"/>
    </row>
    <row r="871">
      <c r="F871" s="88"/>
      <c r="G871" s="53"/>
    </row>
    <row r="872">
      <c r="F872" s="88"/>
      <c r="G872" s="53"/>
    </row>
    <row r="873">
      <c r="F873" s="88"/>
      <c r="G873" s="53"/>
    </row>
    <row r="874">
      <c r="F874" s="88"/>
      <c r="G874" s="53"/>
    </row>
    <row r="875">
      <c r="F875" s="88"/>
      <c r="G875" s="53"/>
    </row>
    <row r="876">
      <c r="F876" s="88"/>
      <c r="G876" s="53"/>
    </row>
    <row r="877">
      <c r="F877" s="88"/>
      <c r="G877" s="53"/>
    </row>
    <row r="878">
      <c r="F878" s="88"/>
      <c r="G878" s="53"/>
    </row>
    <row r="879">
      <c r="F879" s="88"/>
      <c r="G879" s="53"/>
    </row>
    <row r="880">
      <c r="F880" s="88"/>
      <c r="G880" s="53"/>
    </row>
    <row r="881">
      <c r="F881" s="88"/>
      <c r="G881" s="53"/>
    </row>
    <row r="882">
      <c r="F882" s="88"/>
      <c r="G882" s="53"/>
    </row>
    <row r="883">
      <c r="F883" s="88"/>
      <c r="G883" s="53"/>
    </row>
    <row r="884">
      <c r="F884" s="88"/>
      <c r="G884" s="53"/>
    </row>
    <row r="885">
      <c r="F885" s="88"/>
      <c r="G885" s="53"/>
    </row>
    <row r="886">
      <c r="F886" s="88"/>
      <c r="G886" s="53"/>
    </row>
    <row r="887">
      <c r="F887" s="88"/>
      <c r="G887" s="53"/>
    </row>
    <row r="888">
      <c r="F888" s="88"/>
      <c r="G888" s="53"/>
    </row>
    <row r="889">
      <c r="F889" s="88"/>
      <c r="G889" s="53"/>
    </row>
    <row r="890">
      <c r="F890" s="88"/>
      <c r="G890" s="53"/>
    </row>
    <row r="891">
      <c r="F891" s="88"/>
      <c r="G891" s="53"/>
    </row>
    <row r="892">
      <c r="F892" s="88"/>
      <c r="G892" s="53"/>
    </row>
    <row r="893">
      <c r="F893" s="88"/>
      <c r="G893" s="53"/>
    </row>
    <row r="894">
      <c r="F894" s="88"/>
      <c r="G894" s="53"/>
    </row>
    <row r="895">
      <c r="F895" s="88"/>
      <c r="G895" s="53"/>
    </row>
    <row r="896">
      <c r="F896" s="88"/>
      <c r="G896" s="53"/>
    </row>
    <row r="897">
      <c r="F897" s="88"/>
      <c r="G897" s="53"/>
    </row>
    <row r="898">
      <c r="F898" s="88"/>
      <c r="G898" s="53"/>
    </row>
    <row r="899">
      <c r="F899" s="88"/>
      <c r="G899" s="53"/>
    </row>
    <row r="900">
      <c r="F900" s="88"/>
      <c r="G900" s="53"/>
    </row>
    <row r="901">
      <c r="F901" s="88"/>
      <c r="G901" s="53"/>
    </row>
    <row r="902">
      <c r="F902" s="88"/>
      <c r="G902" s="53"/>
    </row>
    <row r="903">
      <c r="F903" s="88"/>
      <c r="G903" s="53"/>
    </row>
    <row r="904">
      <c r="F904" s="88"/>
      <c r="G904" s="53"/>
    </row>
    <row r="905">
      <c r="F905" s="88"/>
      <c r="G905" s="53"/>
    </row>
    <row r="906">
      <c r="F906" s="88"/>
      <c r="G906" s="53"/>
    </row>
    <row r="907">
      <c r="F907" s="88"/>
      <c r="G907" s="53"/>
    </row>
    <row r="908">
      <c r="F908" s="88"/>
      <c r="G908" s="53"/>
    </row>
    <row r="909">
      <c r="F909" s="88"/>
      <c r="G909" s="53"/>
    </row>
    <row r="910">
      <c r="F910" s="88"/>
      <c r="G910" s="53"/>
    </row>
    <row r="911">
      <c r="F911" s="88"/>
      <c r="G911" s="53"/>
    </row>
    <row r="912">
      <c r="F912" s="88"/>
      <c r="G912" s="53"/>
    </row>
    <row r="913">
      <c r="F913" s="88"/>
      <c r="G913" s="53"/>
    </row>
    <row r="914">
      <c r="F914" s="88"/>
      <c r="G914" s="53"/>
    </row>
    <row r="915">
      <c r="F915" s="88"/>
      <c r="G915" s="53"/>
    </row>
    <row r="916">
      <c r="F916" s="88"/>
      <c r="G916" s="53"/>
    </row>
    <row r="917">
      <c r="F917" s="88"/>
      <c r="G917" s="53"/>
    </row>
    <row r="918">
      <c r="F918" s="88"/>
      <c r="G918" s="53"/>
    </row>
    <row r="919">
      <c r="F919" s="88"/>
      <c r="G919" s="53"/>
    </row>
    <row r="920">
      <c r="F920" s="88"/>
      <c r="G920" s="53"/>
    </row>
    <row r="921">
      <c r="F921" s="88"/>
      <c r="G921" s="53"/>
    </row>
    <row r="922">
      <c r="F922" s="88"/>
      <c r="G922" s="53"/>
    </row>
    <row r="923">
      <c r="F923" s="88"/>
      <c r="G923" s="53"/>
    </row>
    <row r="924">
      <c r="F924" s="88"/>
      <c r="G924" s="53"/>
    </row>
    <row r="925">
      <c r="F925" s="88"/>
      <c r="G925" s="53"/>
    </row>
    <row r="926">
      <c r="F926" s="88"/>
      <c r="G926" s="53"/>
    </row>
    <row r="927">
      <c r="F927" s="88"/>
      <c r="G927" s="53"/>
    </row>
    <row r="928">
      <c r="F928" s="88"/>
      <c r="G928" s="53"/>
    </row>
    <row r="929">
      <c r="F929" s="88"/>
      <c r="G929" s="53"/>
    </row>
    <row r="930">
      <c r="F930" s="88"/>
      <c r="G930" s="53"/>
    </row>
    <row r="931">
      <c r="F931" s="88"/>
      <c r="G931" s="53"/>
    </row>
    <row r="932">
      <c r="F932" s="88"/>
      <c r="G932" s="53"/>
    </row>
    <row r="933">
      <c r="F933" s="88"/>
      <c r="G933" s="53"/>
    </row>
    <row r="934">
      <c r="F934" s="88"/>
      <c r="G934" s="53"/>
    </row>
    <row r="935">
      <c r="F935" s="88"/>
      <c r="G935" s="53"/>
    </row>
    <row r="936">
      <c r="F936" s="88"/>
      <c r="G936" s="53"/>
    </row>
    <row r="937">
      <c r="F937" s="88"/>
      <c r="G937" s="53"/>
    </row>
    <row r="938">
      <c r="F938" s="88"/>
      <c r="G938" s="53"/>
    </row>
    <row r="939">
      <c r="F939" s="88"/>
      <c r="G939" s="53"/>
    </row>
    <row r="940">
      <c r="F940" s="88"/>
      <c r="G940" s="53"/>
    </row>
    <row r="941">
      <c r="F941" s="88"/>
      <c r="G941" s="53"/>
    </row>
    <row r="942">
      <c r="F942" s="88"/>
      <c r="G942" s="53"/>
    </row>
    <row r="943">
      <c r="F943" s="88"/>
      <c r="G943" s="53"/>
    </row>
    <row r="944">
      <c r="F944" s="88"/>
      <c r="G944" s="53"/>
    </row>
    <row r="945">
      <c r="F945" s="88"/>
      <c r="G945" s="53"/>
    </row>
    <row r="946">
      <c r="F946" s="88"/>
      <c r="G946" s="53"/>
    </row>
    <row r="947">
      <c r="F947" s="88"/>
      <c r="G947" s="53"/>
    </row>
    <row r="948">
      <c r="F948" s="88"/>
      <c r="G948" s="53"/>
    </row>
    <row r="949">
      <c r="F949" s="88"/>
      <c r="G949" s="53"/>
    </row>
    <row r="950">
      <c r="F950" s="88"/>
      <c r="G950" s="53"/>
    </row>
    <row r="951">
      <c r="F951" s="88"/>
      <c r="G951" s="53"/>
    </row>
    <row r="952">
      <c r="F952" s="88"/>
      <c r="G952" s="53"/>
    </row>
    <row r="953">
      <c r="F953" s="88"/>
      <c r="G953" s="53"/>
    </row>
    <row r="954">
      <c r="F954" s="88"/>
      <c r="G954" s="53"/>
    </row>
    <row r="955">
      <c r="F955" s="88"/>
      <c r="G955" s="53"/>
    </row>
    <row r="956">
      <c r="F956" s="88"/>
      <c r="G956" s="53"/>
    </row>
    <row r="957">
      <c r="F957" s="88"/>
      <c r="G957" s="53"/>
    </row>
    <row r="958">
      <c r="F958" s="88"/>
      <c r="G958" s="53"/>
    </row>
    <row r="959">
      <c r="F959" s="88"/>
      <c r="G959" s="53"/>
    </row>
    <row r="960">
      <c r="F960" s="88"/>
      <c r="G960" s="53"/>
    </row>
    <row r="961">
      <c r="F961" s="88"/>
      <c r="G961" s="53"/>
    </row>
    <row r="962">
      <c r="F962" s="88"/>
      <c r="G962" s="53"/>
    </row>
    <row r="963">
      <c r="F963" s="88"/>
      <c r="G963" s="53"/>
    </row>
    <row r="964">
      <c r="F964" s="88"/>
      <c r="G964" s="53"/>
    </row>
    <row r="965">
      <c r="F965" s="88"/>
      <c r="G965" s="53"/>
    </row>
    <row r="966">
      <c r="F966" s="88"/>
      <c r="G966" s="53"/>
    </row>
    <row r="967">
      <c r="F967" s="88"/>
      <c r="G967" s="53"/>
    </row>
    <row r="968">
      <c r="F968" s="88"/>
      <c r="G968" s="53"/>
    </row>
    <row r="969">
      <c r="F969" s="88"/>
      <c r="G969" s="53"/>
    </row>
    <row r="970">
      <c r="F970" s="88"/>
      <c r="G970" s="53"/>
    </row>
    <row r="971">
      <c r="F971" s="88"/>
      <c r="G971" s="53"/>
    </row>
    <row r="972">
      <c r="F972" s="88"/>
      <c r="G972" s="53"/>
    </row>
    <row r="973">
      <c r="F973" s="88"/>
      <c r="G973" s="53"/>
    </row>
    <row r="974">
      <c r="F974" s="88"/>
      <c r="G974" s="53"/>
    </row>
    <row r="975">
      <c r="F975" s="88"/>
      <c r="G975" s="53"/>
    </row>
    <row r="976">
      <c r="F976" s="88"/>
      <c r="G976" s="53"/>
    </row>
    <row r="977">
      <c r="F977" s="88"/>
      <c r="G977" s="53"/>
    </row>
    <row r="978">
      <c r="F978" s="88"/>
      <c r="G978" s="53"/>
    </row>
    <row r="979">
      <c r="F979" s="88"/>
      <c r="G979" s="53"/>
    </row>
    <row r="980">
      <c r="F980" s="88"/>
      <c r="G980" s="53"/>
    </row>
    <row r="981">
      <c r="F981" s="88"/>
      <c r="G981" s="53"/>
    </row>
    <row r="982">
      <c r="F982" s="88"/>
      <c r="G982" s="53"/>
    </row>
    <row r="983">
      <c r="F983" s="88"/>
      <c r="G983" s="53"/>
    </row>
    <row r="984">
      <c r="F984" s="88"/>
      <c r="G984" s="53"/>
    </row>
    <row r="985">
      <c r="F985" s="88"/>
      <c r="G985" s="53"/>
    </row>
    <row r="986">
      <c r="F986" s="88"/>
      <c r="G986" s="53"/>
    </row>
    <row r="987">
      <c r="F987" s="88"/>
      <c r="G987" s="53"/>
    </row>
    <row r="988">
      <c r="F988" s="88"/>
      <c r="G988" s="53"/>
    </row>
    <row r="989">
      <c r="F989" s="88"/>
      <c r="G989" s="53"/>
    </row>
    <row r="990">
      <c r="F990" s="88"/>
      <c r="G990" s="53"/>
    </row>
    <row r="991">
      <c r="F991" s="88"/>
      <c r="G991" s="53"/>
    </row>
    <row r="992">
      <c r="F992" s="88"/>
      <c r="G992" s="53"/>
    </row>
    <row r="993">
      <c r="F993" s="88"/>
      <c r="G993" s="53"/>
    </row>
    <row r="994">
      <c r="F994" s="88"/>
      <c r="G994" s="53"/>
    </row>
    <row r="995">
      <c r="F995" s="88"/>
      <c r="G995" s="53"/>
    </row>
    <row r="996">
      <c r="F996" s="88"/>
      <c r="G996" s="53"/>
    </row>
    <row r="997">
      <c r="F997" s="88"/>
      <c r="G997" s="53"/>
    </row>
    <row r="998">
      <c r="F998" s="88"/>
      <c r="G998" s="53"/>
    </row>
    <row r="999">
      <c r="F999" s="88"/>
      <c r="G999" s="53"/>
    </row>
    <row r="1000">
      <c r="F1000" s="88"/>
      <c r="G1000" s="53"/>
    </row>
    <row r="1001">
      <c r="F1001" s="88"/>
      <c r="G1001" s="53"/>
    </row>
    <row r="1002">
      <c r="F1002" s="88"/>
      <c r="G1002" s="53"/>
    </row>
    <row r="1003">
      <c r="F1003" s="88"/>
      <c r="G1003" s="53"/>
    </row>
    <row r="1004">
      <c r="F1004" s="88"/>
      <c r="G1004" s="53"/>
    </row>
    <row r="1005">
      <c r="F1005" s="88"/>
      <c r="G1005" s="53"/>
    </row>
  </sheetData>
  <mergeCells count="6">
    <mergeCell ref="A1:D1"/>
    <mergeCell ref="A9:D9"/>
    <mergeCell ref="A16:D16"/>
    <mergeCell ref="A22:D22"/>
    <mergeCell ref="A27:D27"/>
    <mergeCell ref="A32:D32"/>
  </mergeCells>
  <hyperlinks>
    <hyperlink r:id="rId1" ref="G2"/>
    <hyperlink r:id="rId2" ref="G3"/>
    <hyperlink r:id="rId3" ref="G5"/>
    <hyperlink r:id="rId4" ref="G10"/>
    <hyperlink r:id="rId5" ref="G11"/>
    <hyperlink r:id="rId6" ref="G13"/>
    <hyperlink r:id="rId7" ref="G14"/>
    <hyperlink r:id="rId8" ref="G17"/>
    <hyperlink r:id="rId9" ref="G18"/>
    <hyperlink r:id="rId10" ref="G19"/>
    <hyperlink r:id="rId11" ref="G20"/>
    <hyperlink r:id="rId12" ref="G23"/>
    <hyperlink r:id="rId13" ref="G24"/>
    <hyperlink r:id="rId14" ref="G25"/>
    <hyperlink r:id="rId15" ref="G28"/>
    <hyperlink r:id="rId16" ref="G29"/>
    <hyperlink r:id="rId17" ref="G30"/>
    <hyperlink r:id="rId18" ref="G33"/>
    <hyperlink r:id="rId19" ref="G34"/>
    <hyperlink r:id="rId20" ref="G35"/>
    <hyperlink r:id="rId21" ref="G36"/>
    <hyperlink r:id="rId22" ref="G37"/>
    <hyperlink r:id="rId23" ref="G38"/>
  </hyperlinks>
  <drawing r:id="rId2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36.57"/>
    <col customWidth="1" min="3" max="3" width="24.43"/>
    <col customWidth="1" min="4" max="6" width="8.57"/>
    <col customWidth="1" min="7" max="26" width="8.71"/>
  </cols>
  <sheetData>
    <row r="1">
      <c r="A1" s="94" t="s">
        <v>330</v>
      </c>
      <c r="B1" s="95" t="s">
        <v>331</v>
      </c>
      <c r="C1" s="96" t="s">
        <v>332</v>
      </c>
    </row>
    <row r="2">
      <c r="A2" s="94" t="s">
        <v>333</v>
      </c>
      <c r="B2" s="95" t="s">
        <v>334</v>
      </c>
      <c r="C2" s="96" t="s">
        <v>335</v>
      </c>
    </row>
    <row r="3">
      <c r="A3" s="94" t="s">
        <v>336</v>
      </c>
      <c r="B3" s="95" t="s">
        <v>337</v>
      </c>
      <c r="C3" s="96" t="s">
        <v>338</v>
      </c>
    </row>
    <row r="4">
      <c r="A4" s="94" t="s">
        <v>339</v>
      </c>
      <c r="B4" s="95" t="s">
        <v>340</v>
      </c>
      <c r="C4" s="96" t="s">
        <v>341</v>
      </c>
    </row>
    <row r="5">
      <c r="A5" s="94" t="s">
        <v>342</v>
      </c>
      <c r="B5" s="95" t="s">
        <v>343</v>
      </c>
      <c r="C5" s="96" t="s">
        <v>344</v>
      </c>
    </row>
    <row r="6">
      <c r="A6" s="97" t="s">
        <v>345</v>
      </c>
      <c r="B6" s="98" t="s">
        <v>346</v>
      </c>
      <c r="C6" s="28" t="s">
        <v>332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